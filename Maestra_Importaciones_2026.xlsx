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casarino\Desktop\"/>
    </mc:Choice>
  </mc:AlternateContent>
  <xr:revisionPtr revIDLastSave="0" documentId="8_{07824FFA-AC21-4FAB-8865-EADC061DCE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ESTRA" sheetId="1" r:id="rId1"/>
    <sheet name="RESUMEN EMPRESA" sheetId="2" r:id="rId2"/>
    <sheet name="RESUMEN MES" sheetId="3" r:id="rId3"/>
    <sheet name="FRIOTEAM" sheetId="4" r:id="rId4"/>
    <sheet name="FRIOPACKING" sheetId="5" r:id="rId5"/>
    <sheet name="HERMETICA" sheetId="6" r:id="rId6"/>
    <sheet name="SMARTCOL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6" i="1" l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<sst xmlns="http://schemas.openxmlformats.org/spreadsheetml/2006/main" count="820" uniqueCount="256">
  <si>
    <t>EMPRESA</t>
  </si>
  <si>
    <t>PROVEEDOR</t>
  </si>
  <si>
    <t>ORDEN NRO.</t>
  </si>
  <si>
    <t>INCOTERM</t>
  </si>
  <si>
    <t>FECHA NUMERACIÓN</t>
  </si>
  <si>
    <t>DUA</t>
  </si>
  <si>
    <t>E.X.W. (USD)</t>
  </si>
  <si>
    <t>GASTO F.O.B. (USD)</t>
  </si>
  <si>
    <t>F.O.B. ADUANA (USD)</t>
  </si>
  <si>
    <t>FLETE INTL. (USD)</t>
  </si>
  <si>
    <t>SEGURO (USD)</t>
  </si>
  <si>
    <t>TOTAL CIF ADUANA (USD)</t>
  </si>
  <si>
    <t>TRAMARSA (USD)</t>
  </si>
  <si>
    <t>DPW GATE IN (USD)</t>
  </si>
  <si>
    <t>DESCARGA (USD)</t>
  </si>
  <si>
    <t>HANDLING (USD)</t>
  </si>
  <si>
    <t>TRANSPORTE INTL. (USD)</t>
  </si>
  <si>
    <t>TOTAL GASTOS DESTINO (USD)</t>
  </si>
  <si>
    <t>COMISIÓN (USD)</t>
  </si>
  <si>
    <t>GASTOS OPERATIVOS (USD)</t>
  </si>
  <si>
    <t>TOTAL GASTOS NACIÓN (USD)</t>
  </si>
  <si>
    <t>TOTAL IMPORTACIÓN (USD)</t>
  </si>
  <si>
    <t>FACTOR</t>
  </si>
  <si>
    <t>FRIOTEAM</t>
  </si>
  <si>
    <t>AOLAN</t>
  </si>
  <si>
    <t>ORDEN 002-361 AOLAN</t>
  </si>
  <si>
    <t>EXW</t>
  </si>
  <si>
    <t>26-02-2026</t>
  </si>
  <si>
    <t>235-2026-10-032124-01-3-00</t>
  </si>
  <si>
    <t>FRIOPACKING</t>
  </si>
  <si>
    <t>THERMOFIN</t>
  </si>
  <si>
    <t>Orden Nro. 002-1597 3er THERMOFIN SUD</t>
  </si>
  <si>
    <t>FCA</t>
  </si>
  <si>
    <t>03/01/2025</t>
  </si>
  <si>
    <t>172-2026-10-000044-01-2-00</t>
  </si>
  <si>
    <t>ZIEHL ABEGG</t>
  </si>
  <si>
    <t>ORDEN 002-349 ZIEHL ABEGG</t>
  </si>
  <si>
    <t>CFR</t>
  </si>
  <si>
    <t>14/01/2025</t>
  </si>
  <si>
    <t>118-2026-10-022443-01-2-00</t>
  </si>
  <si>
    <t>WINGFAN / COPELAND</t>
  </si>
  <si>
    <t>ORDEN 002-347-352 WINGFAN - COPELAND</t>
  </si>
  <si>
    <t>13/01/2026</t>
  </si>
  <si>
    <t>05/12/2025</t>
  </si>
  <si>
    <t>235-2025-10-202622-01-6-00</t>
  </si>
  <si>
    <t>DANFOSS</t>
  </si>
  <si>
    <t>Orden Nro. 002-1604-1548-1589-1600-1576-1565 DANFOSS</t>
  </si>
  <si>
    <t>20/12/2025</t>
  </si>
  <si>
    <t>235-2025-10-212111-01-4-00</t>
  </si>
  <si>
    <t>Orden Nro. 002-1449 DANFOSS</t>
  </si>
  <si>
    <t>CIF</t>
  </si>
  <si>
    <t>29/12/2025</t>
  </si>
  <si>
    <t>235-2025-18-12461398</t>
  </si>
  <si>
    <t>ANTILHUE</t>
  </si>
  <si>
    <t>Orden Nro. 002-1633 ANTILHUE</t>
  </si>
  <si>
    <t>235-2025-10-216006-01-0-00</t>
  </si>
  <si>
    <t>GUNTNER</t>
  </si>
  <si>
    <t>Orden Nro. 002-1518 2DO GUNTNER</t>
  </si>
  <si>
    <t>30/12/2025</t>
  </si>
  <si>
    <t>118-2025-10-579518-01-7-00</t>
  </si>
  <si>
    <t>ALFA LAVAL</t>
  </si>
  <si>
    <t>Orden Nro. 002-1546-1566-1581 ALFA LAVAL - WITT</t>
  </si>
  <si>
    <t>118-2025-10-579648-01-8-00</t>
  </si>
  <si>
    <t>HERMETICA</t>
  </si>
  <si>
    <t>ACCESOS TERMICOS</t>
  </si>
  <si>
    <t>ORDEN 002-774 ACCESOS TERMICOS</t>
  </si>
  <si>
    <t>118-2025-10-579184-01-1-00</t>
  </si>
  <si>
    <t>JOHNSON</t>
  </si>
  <si>
    <t>ORDEN 002-357 JOHNSON</t>
  </si>
  <si>
    <t>02/01/2026</t>
  </si>
  <si>
    <t>235-2026-10-000298-01-6-00</t>
  </si>
  <si>
    <t>JOHNSON CONTROLS</t>
  </si>
  <si>
    <t>Orden Nro. 002-1517-1554 JONHSON CONTROLS</t>
  </si>
  <si>
    <t>07/01/2026</t>
  </si>
  <si>
    <t>118-2026-10-008632-01-6-00</t>
  </si>
  <si>
    <t>Orden Nro. 002-1597 4to THERMOFIN SUD</t>
  </si>
  <si>
    <t>09/01/2026</t>
  </si>
  <si>
    <t>172-2026-10-000356-01-4-00</t>
  </si>
  <si>
    <t>Orden Nro. 002-01578-1574 DANFOSS</t>
  </si>
  <si>
    <t>118-2026-10-021224-01-5-00</t>
  </si>
  <si>
    <t>HISPANIA</t>
  </si>
  <si>
    <t>Orden Nro. 002-01595 HISPANIA - CHANCAY</t>
  </si>
  <si>
    <t>FOB</t>
  </si>
  <si>
    <t>19/01/2026</t>
  </si>
  <si>
    <t>370-2026-10-002499-01-3-00</t>
  </si>
  <si>
    <t>INKEMA</t>
  </si>
  <si>
    <t>Orden Nro. 002-01601 INKEMA</t>
  </si>
  <si>
    <t>118-2026-10-031773-01-1-00</t>
  </si>
  <si>
    <t>CHANGZHOU</t>
  </si>
  <si>
    <t>ORDEN 002-356 CHANGZHOU</t>
  </si>
  <si>
    <t>20/01/2026</t>
  </si>
  <si>
    <t>370-2026-10-003111-01-9-00</t>
  </si>
  <si>
    <t xml:space="preserve">ORDEN 002-360 JOHNSON </t>
  </si>
  <si>
    <t>235-2026-10-024376-01-7-00</t>
  </si>
  <si>
    <t>AMARR</t>
  </si>
  <si>
    <t>ORDEN 002-813 AMARR</t>
  </si>
  <si>
    <t>21/01/2026</t>
  </si>
  <si>
    <t>118-2026-10-035208-01-7-00</t>
  </si>
  <si>
    <t>Orden Nro. 002-1584 THERMOFIN SUD.</t>
  </si>
  <si>
    <t>27/01/2026</t>
  </si>
  <si>
    <t>172-2026-10-001436-01-1-00</t>
  </si>
  <si>
    <t>FRIO-RAF</t>
  </si>
  <si>
    <t>Orden Nro. 002-1586 FRIO-RAF</t>
  </si>
  <si>
    <t>172-2026-10-001403-01-6-00</t>
  </si>
  <si>
    <t>Orden Nro. 002-1585 ZIEHL ABEGG</t>
  </si>
  <si>
    <t>28/01/2026</t>
  </si>
  <si>
    <t>118-2026-10-045673-01-4-00</t>
  </si>
  <si>
    <t>Orden Nro. 002-1613 2do DANFOSS</t>
  </si>
  <si>
    <t>31/01/2026</t>
  </si>
  <si>
    <t>235-2026-10-015954-01-1-00</t>
  </si>
  <si>
    <t>HENGCHANG</t>
  </si>
  <si>
    <t>Orden Nro. 002-1623-1625 HENGCHANG</t>
  </si>
  <si>
    <t>370-2026-10-003824-01-5-00</t>
  </si>
  <si>
    <t>PORTES BISBAL</t>
  </si>
  <si>
    <t>Orden Nro. 002-1609 PORTES BISBAL</t>
  </si>
  <si>
    <t>02/02/2026</t>
  </si>
  <si>
    <t>118-2026-10-054581-01-1-00</t>
  </si>
  <si>
    <t>Orden Nro. 002-1653 DANFOSS</t>
  </si>
  <si>
    <t>235-2026-10-016597-01-8-00</t>
  </si>
  <si>
    <t>MEGATRON</t>
  </si>
  <si>
    <t>Orden Nro. 002-1607 MEGATRON</t>
  </si>
  <si>
    <t>03/02/2026</t>
  </si>
  <si>
    <t>235-2026-18-3336881</t>
  </si>
  <si>
    <t>MIV</t>
  </si>
  <si>
    <t>ORDEN 002-926-930 MIV</t>
  </si>
  <si>
    <t>118-2026-10-056369-01-1-00</t>
  </si>
  <si>
    <t>WEIFANG</t>
  </si>
  <si>
    <t>Orden Nro. 002-1580 WEIFANG</t>
  </si>
  <si>
    <t>04/02/2026</t>
  </si>
  <si>
    <t>118-2026-10-056597-01-2-00</t>
  </si>
  <si>
    <t>ORDEN 002-670 2do INKEMA</t>
  </si>
  <si>
    <t>118-2026-10-056907-01-1-00</t>
  </si>
  <si>
    <t>ORDEN 002-854 INKEMA</t>
  </si>
  <si>
    <t>118-2026-10-064215-01-8-00</t>
  </si>
  <si>
    <t>SMARTCOLD</t>
  </si>
  <si>
    <t>KFL</t>
  </si>
  <si>
    <t>ORDEN 002-6867 KFL</t>
  </si>
  <si>
    <t>118-2026-10-056370-01-8-00</t>
  </si>
  <si>
    <t>Orden Nro. 002-1605-1649-1577 DANFOSS</t>
  </si>
  <si>
    <t>06/02/2026</t>
  </si>
  <si>
    <t>118-2026-10-061859-01-1-00</t>
  </si>
  <si>
    <t>KINGSPAN</t>
  </si>
  <si>
    <t>Orden Nro. 002-1656 KINGSPAN</t>
  </si>
  <si>
    <t>118-2026-10-060386-01-2-00</t>
  </si>
  <si>
    <t>IMEQ</t>
  </si>
  <si>
    <t>ORDEN 002-966 IMEQ</t>
  </si>
  <si>
    <t>235-2026-10-019208-01-2-00</t>
  </si>
  <si>
    <t>Orden Nro. 002-1573 DANFOSS</t>
  </si>
  <si>
    <t>07/02/2026</t>
  </si>
  <si>
    <t>235-2026-10-020309-01-3-00</t>
  </si>
  <si>
    <t>ALAPONT</t>
  </si>
  <si>
    <t>Orden Nro. 002-1579 ALAPONT</t>
  </si>
  <si>
    <t>11/02/2026</t>
  </si>
  <si>
    <t>118-2026-10-067542-01-1-00</t>
  </si>
  <si>
    <t>WEIBMUELLER</t>
  </si>
  <si>
    <t>Orden Nro. 002-1636-1638 WEIBMUELLER</t>
  </si>
  <si>
    <t>235-2026-10-022169-01-4-00</t>
  </si>
  <si>
    <t>DUNLI</t>
  </si>
  <si>
    <t>ORDEN 002-7012 DUNLI</t>
  </si>
  <si>
    <t>12/02/2026</t>
  </si>
  <si>
    <t>118-2026-10-070957-01-2-00</t>
  </si>
  <si>
    <t>CAFF</t>
  </si>
  <si>
    <t>ORDEN 002-940 CAFF</t>
  </si>
  <si>
    <t>13/02/2026</t>
  </si>
  <si>
    <t>235-2026-10-024101-01-8-00</t>
  </si>
  <si>
    <t>DORIN</t>
  </si>
  <si>
    <t>ORDEN 002-6866 DORIN</t>
  </si>
  <si>
    <t>118-2026-10-056374-01-3-00</t>
  </si>
  <si>
    <t>BMP</t>
  </si>
  <si>
    <t>ORDEN 002-986 BMP</t>
  </si>
  <si>
    <t>14/02/2026</t>
  </si>
  <si>
    <t>235-2026-10-024805-01-5-00</t>
  </si>
  <si>
    <t>ORDEN 002-981 KINGSPAN</t>
  </si>
  <si>
    <t>19/02/2026</t>
  </si>
  <si>
    <t>118-2026-10-082728-01-3-00</t>
  </si>
  <si>
    <t>CALORFLEX</t>
  </si>
  <si>
    <t>ORDEN 002-892 CALORFLEX</t>
  </si>
  <si>
    <t>20/02/2026</t>
  </si>
  <si>
    <t>235-2026-10-028404-01-5-00</t>
  </si>
  <si>
    <t>Orden Nro. 002-1584-1634 THERMOFIN SUD.</t>
  </si>
  <si>
    <t>24/02/2026</t>
  </si>
  <si>
    <t>172-2026-10-003378-01-9-00</t>
  </si>
  <si>
    <t>ORDEN 002-670 3ER INKEMA</t>
  </si>
  <si>
    <t>25/02/2026</t>
  </si>
  <si>
    <t>118-2026-10-091032-01-8-00</t>
  </si>
  <si>
    <t>DANTHERN</t>
  </si>
  <si>
    <t>Orden Nro. 002-1621 DANTHERN</t>
  </si>
  <si>
    <t>26/02/2026</t>
  </si>
  <si>
    <t>235-2026-10-031924-01-6-00</t>
  </si>
  <si>
    <t>Orden Nro. 002-1662 DANFOSS</t>
  </si>
  <si>
    <t>28/02/2026</t>
  </si>
  <si>
    <t>235-2026-10-033460-01-7-00</t>
  </si>
  <si>
    <t>Orden Nro. 002-1599 ALFA LAVAL</t>
  </si>
  <si>
    <t>04/03/2026</t>
  </si>
  <si>
    <t>118-2026-10-100462-01-2-00</t>
  </si>
  <si>
    <t>Orden Nro. 002-1687 WEIBMUELLER</t>
  </si>
  <si>
    <t>07/03/2026</t>
  </si>
  <si>
    <t>235-2026-10-037627-01-3-00</t>
  </si>
  <si>
    <t>Orden Nro. 002-1639-1643 HISPANIA</t>
  </si>
  <si>
    <t>10/03/2026</t>
  </si>
  <si>
    <t>370-2026-10-008367-01-1-00</t>
  </si>
  <si>
    <t>FULL GAUGE</t>
  </si>
  <si>
    <t>ORDEN 002-7181 FULL GAUGE</t>
  </si>
  <si>
    <t>12/03/2026</t>
  </si>
  <si>
    <t>235-2026-10-040169-01-2-00</t>
  </si>
  <si>
    <t>Orden Nro. 002-1648 DANFOSS</t>
  </si>
  <si>
    <t>13/03/2026</t>
  </si>
  <si>
    <t>235-2026-10-041170-01-4-00</t>
  </si>
  <si>
    <t>Orden Nro. 002-1661   (1676 danfoss-REAL)</t>
  </si>
  <si>
    <t>14/03/2026</t>
  </si>
  <si>
    <t>118-2026-10-120450-01-1-00</t>
  </si>
  <si>
    <t>FB LATAM</t>
  </si>
  <si>
    <t>Orden Nro. 002-1661 FB Latam</t>
  </si>
  <si>
    <t>16/03/2026</t>
  </si>
  <si>
    <t>118-2026-10-122002-01-4-00</t>
  </si>
  <si>
    <t>17/03/2026</t>
  </si>
  <si>
    <t>118-2026-10-123459-01-8-00</t>
  </si>
  <si>
    <t>ORDEN 002-653-823-825 BMP</t>
  </si>
  <si>
    <t>118-2026-10-090988-01-0-00</t>
  </si>
  <si>
    <t>CONDOOR</t>
  </si>
  <si>
    <t>ORDEN 002-899-1007-985 CONDOOR</t>
  </si>
  <si>
    <t>118-2026-10-123692-01-4-00</t>
  </si>
  <si>
    <t>Orden Nro. 002-1705 ANTILHUE</t>
  </si>
  <si>
    <t>19/03/2026</t>
  </si>
  <si>
    <t>235-2026-10-044804-01-4-00</t>
  </si>
  <si>
    <t>ORDEN 002-371 ZIEHL ABEGG</t>
  </si>
  <si>
    <t>235-2026-10-044720-01-5-00</t>
  </si>
  <si>
    <t>ERRECINQUE</t>
  </si>
  <si>
    <t>ORDEN 002-7185 ERRECINQUE</t>
  </si>
  <si>
    <t>20/03/2026</t>
  </si>
  <si>
    <t>235-2026-10-045386-01-1-00</t>
  </si>
  <si>
    <t>RAYTECH</t>
  </si>
  <si>
    <t>Orden Nro. 002-1707 RAYTECH</t>
  </si>
  <si>
    <t>21/03/2026</t>
  </si>
  <si>
    <t>235-2026-10-046280-01-2-00</t>
  </si>
  <si>
    <t>WITT</t>
  </si>
  <si>
    <t>Orden Nro. 002-1651 WITT</t>
  </si>
  <si>
    <t>26/03/2026</t>
  </si>
  <si>
    <t>118-2026-10-142235-01-4-00</t>
  </si>
  <si>
    <t>Orden Nro. 002-1685-1666-1594 DANFOSS</t>
  </si>
  <si>
    <t>235-2026-10-049333-01-1-00</t>
  </si>
  <si>
    <t>CASTELL</t>
  </si>
  <si>
    <t>ORDEN 002-7200 CASTELL</t>
  </si>
  <si>
    <t>27/03/2026</t>
  </si>
  <si>
    <t>235-2026-10-050014-01-1-00</t>
  </si>
  <si>
    <t>N° ÓRDENES</t>
  </si>
  <si>
    <t>TOTAL EXW (USD)</t>
  </si>
  <si>
    <t>TOTAL GENERAL</t>
  </si>
  <si>
    <t>MES</t>
  </si>
  <si>
    <t>Ene</t>
  </si>
  <si>
    <t>Feb</t>
  </si>
  <si>
    <t>Mar</t>
  </si>
  <si>
    <t>Dic</t>
  </si>
  <si>
    <t>TOTAL</t>
  </si>
  <si>
    <t>Seguro Real</t>
  </si>
  <si>
    <t>Tipo de Embarque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</si>
</sst>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S/&quot;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65" fontId="0" fillId="0" borderId="0" xfId="0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  <dxf>
      <numFmt numFmtId="165" formatCode="&quot;S/&quot;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693C1-8E06-40AB-84DE-A6588F839C1B}" name="TblMaestra" displayName="TblMaestra" ref="A1:Y66" totalsRowShown="0">
  <autoFilter ref="A1:Y66" xr:uid="{950693C1-8E06-40AB-84DE-A6588F839C1B}"/>
  <tableColumns count="25">
    <tableColumn id="1" xr3:uid="{F310D782-A5C8-46C2-AF79-8BA76A25CD70}" name="EMPRESA"/>
    <tableColumn id="2" xr3:uid="{09968751-DC83-4020-A70C-D390E71D039F}" name="PROVEEDOR"/>
    <tableColumn id="3" xr3:uid="{16FB00E5-F9EC-454E-8D46-D73C9FDAB565}" name="ORDEN NRO."/>
    <tableColumn id="4" xr3:uid="{42E3F776-2CC9-45C6-A723-7446A0987546}" name="INCOTERM"/>
    <tableColumn id="5" xr3:uid="{ACD07B3D-0858-4F6E-9648-D204A21FAE0A}" name="FECHA NUMERACIÓN"/>
    <tableColumn id="6" xr3:uid="{B91E8223-716D-4BEC-BB58-FF75C18CB19F}" name="DUA"/>
    <tableColumn id="7" xr3:uid="{1ADD2616-F3B8-450B-8C38-87959C8E7072}" name="E.X.W. (USD)" dataDxfId="16"/>
    <tableColumn id="8" xr3:uid="{13350FF3-6999-4EC5-9D8C-65BFBC60E79E}" name="GASTO F.O.B. (USD)" dataDxfId="15"/>
    <tableColumn id="9" xr3:uid="{B7E8C9DD-F37D-4579-9AA9-AB23B49A754C}" name="F.O.B. ADUANA (USD)" dataDxfId="14"/>
    <tableColumn id="10" xr3:uid="{6915B39B-E76A-469F-8FF5-A327CB114AD3}" name="FLETE INTL. (USD)" dataDxfId="13"/>
    <tableColumn id="11" xr3:uid="{47E72A3F-DE70-4E31-AE9A-CA1F962BFC09}" name="SEGURO (USD)" dataDxfId="12"/>
    <tableColumn id="12" xr3:uid="{B4EBF17B-2BB9-4ED7-BEF0-A94F962ED906}" name="TOTAL CIF ADUANA (USD)" dataDxfId="11"/>
    <tableColumn id="13" xr3:uid="{A01D59CF-16DE-4210-91D1-1DF5DC5DB8A9}" name="TRAMARSA (USD)" dataDxfId="10"/>
    <tableColumn id="14" xr3:uid="{C7FAA0D1-17C7-47A2-B19B-2C1C885E2901}" name="DPW GATE IN (USD)" dataDxfId="9"/>
    <tableColumn id="15" xr3:uid="{1A35FD58-B5D0-49FC-B41A-90DF7E5B7389}" name="DESCARGA (USD)" dataDxfId="8"/>
    <tableColumn id="16" xr3:uid="{86DD58CA-82DF-4156-81B9-E3055B5727B4}" name="HANDLING (USD)" dataDxfId="7"/>
    <tableColumn id="17" xr3:uid="{781B88A1-9089-4AFB-A65C-30392FF10509}" name="TRANSPORTE INTL. (USD)" dataDxfId="6"/>
    <tableColumn id="18" xr3:uid="{C0E6678B-AEF9-4F3E-B5CF-10F109C8DC9D}" name="TOTAL GASTOS DESTINO (USD)" dataDxfId="5"/>
    <tableColumn id="19" xr3:uid="{213E4E44-E3B6-4704-880A-A434582C21C9}" name="COMISIÓN (USD)" dataDxfId="4"/>
    <tableColumn id="20" xr3:uid="{E61009C9-5B7A-4505-A211-F7B5BCD0472E}" name="GASTOS OPERATIVOS (USD)" dataDxfId="3"/>
    <tableColumn id="21" xr3:uid="{C008224B-F0BC-4612-B500-33C56693F887}" name="TOTAL GASTOS NACIÓN (USD)" dataDxfId="2"/>
    <tableColumn id="22" xr3:uid="{C64462AC-6C3A-4B96-86F4-278D33883DEC}" name="TOTAL IMPORTACIÓN (USD)" dataDxfId="1"/>
    <tableColumn id="23" xr3:uid="{C104D84A-1929-4775-9838-E4B5187B03CB}" name="FACTOR"/>
    <tableColumn id="24" xr3:uid="{8482FEE6-DAE3-4EC0-8DCE-A4D31756BACC}" name="Seguro Real" dataDxfId="0">
      <calculatedColumnFormula>MAX((G2+H2+J2)*(1.1+1)*0.0013,36.5)</calculatedColumnFormula>
    </tableColumn>
    <tableColumn id="25" xr3:uid="{5481F90B-5B97-483B-84BE-B0B5017681E1}" name="Tipo de Embarque">
      <calculatedColumnFormula>IF(LEFT(F2,3)="235","Aéreo",IF(OR(LEFT(F2,3)="118",LEFT(F2,3)="370"),"Marítimo",IF(LEFT(F2,3)="172","Terrestre","")))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D8D9C7-92B0-4439-9D64-A1C4460850A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f4c6662-b778-41ca-9ff9-baceba53ca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abSelected="1" topLeftCell="J1" workbookViewId="0">
      <selection activeCell="W6" sqref="W6"/>
    </sheetView>
  </sheetViews>
  <sheetFormatPr baseColWidth="10" defaultRowHeight="14.4" x14ac:dyDescent="0.3"/>
  <cols>
    <col min="1" max="1" width="14.796875" customWidth="1"/>
    <col min="2" max="2" width="20.796875" customWidth="1"/>
    <col min="3" max="3" width="45.796875" customWidth="1"/>
    <col min="4" max="4" width="11.69921875" customWidth="1"/>
    <col min="5" max="5" width="20.5" customWidth="1"/>
    <col min="6" max="6" width="32.796875" customWidth="1"/>
    <col min="7" max="7" width="14.796875" customWidth="1"/>
    <col min="8" max="8" width="19" customWidth="1"/>
    <col min="9" max="9" width="20.69921875" customWidth="1"/>
    <col min="10" max="10" width="17.09765625" customWidth="1"/>
    <col min="11" max="11" width="14.796875" customWidth="1"/>
    <col min="12" max="12" width="24.19921875" customWidth="1"/>
    <col min="13" max="13" width="17.19921875" customWidth="1"/>
    <col min="14" max="14" width="19.296875" customWidth="1"/>
    <col min="15" max="15" width="16.8984375" customWidth="1"/>
    <col min="16" max="16" width="16.796875" customWidth="1"/>
    <col min="17" max="17" width="23.5" customWidth="1"/>
    <col min="18" max="18" width="28.296875" customWidth="1"/>
    <col min="19" max="19" width="16.59765625" customWidth="1"/>
    <col min="20" max="20" width="25.796875" customWidth="1"/>
    <col min="21" max="21" width="27.69921875" customWidth="1"/>
    <col min="22" max="22" width="26" customWidth="1"/>
    <col min="23" max="23" width="9.296875" customWidth="1"/>
    <col min="24" max="24" width="12.3984375" customWidth="1"/>
    <col min="25" max="25" width="18" customWidth="1"/>
  </cols>
  <sheetData>
    <row r="1" spans="1:2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254</v>
      </c>
      <c r="Y1" s="1" t="s">
        <v>255</v>
      </c>
    </row>
    <row r="2" spans="1:25" ht="15.6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870</v>
      </c>
      <c r="H2" s="2">
        <v>0</v>
      </c>
      <c r="I2" s="2">
        <v>0</v>
      </c>
      <c r="J2" s="2">
        <v>357.5</v>
      </c>
      <c r="K2" s="2">
        <v>8.6999999999999993</v>
      </c>
      <c r="L2" s="2">
        <v>1236.2</v>
      </c>
      <c r="M2" s="2"/>
      <c r="N2" s="2"/>
      <c r="O2" s="2"/>
      <c r="P2" s="2">
        <v>80</v>
      </c>
      <c r="Q2" s="2"/>
      <c r="R2" s="2">
        <v>377.43</v>
      </c>
      <c r="S2" s="2"/>
      <c r="T2" s="2">
        <v>20</v>
      </c>
      <c r="U2" s="2">
        <v>200.43</v>
      </c>
      <c r="V2" s="2">
        <v>1814.06</v>
      </c>
      <c r="W2">
        <v>2.0851000000000002</v>
      </c>
      <c r="X2" s="3">
        <f>MAX((G2+H2+J2)*(1.1+1)*0.0013,36.5)</f>
        <v>36.5</v>
      </c>
      <c r="Y2" t="str">
        <f>IF(LEFT(F2,3)="235","Aéreo",IF(OR(LEFT(F2,3)="118",LEFT(F2,3)="370"),"Marítimo",IF(LEFT(F2,3)="172","Terrestre","")))</f>
        <v>Aéreo</v>
      </c>
    </row>
    <row r="3" spans="1:25" ht="15.6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s="2">
        <v>42100</v>
      </c>
      <c r="H3" s="2">
        <v>2500</v>
      </c>
      <c r="I3" s="2">
        <v>0</v>
      </c>
      <c r="J3" s="2">
        <v>1500</v>
      </c>
      <c r="K3" s="2">
        <v>446</v>
      </c>
      <c r="L3" s="2">
        <v>46546</v>
      </c>
      <c r="M3" s="2"/>
      <c r="N3" s="2"/>
      <c r="O3" s="2"/>
      <c r="P3" s="2"/>
      <c r="Q3" s="2"/>
      <c r="R3" s="2">
        <v>2000</v>
      </c>
      <c r="S3" s="2"/>
      <c r="T3" s="2">
        <v>80</v>
      </c>
      <c r="U3" s="2">
        <v>240.9</v>
      </c>
      <c r="V3" s="2">
        <v>48786.9</v>
      </c>
      <c r="W3">
        <v>1.1588000000000001</v>
      </c>
      <c r="X3" s="3">
        <f t="shared" ref="X3:X66" si="0">MAX((G3+H3+J3)*(1.1+1)*0.0013,36.5)</f>
        <v>125.85299999999999</v>
      </c>
      <c r="Y3" t="str">
        <f t="shared" ref="Y3:Y66" si="1">IF(LEFT(F3,3)="235","Aéreo",IF(OR(LEFT(F3,3)="118",LEFT(F3,3)="370"),"Marítimo",IF(LEFT(F3,3)="172","Terrestre","")))</f>
        <v>Terrestre</v>
      </c>
    </row>
    <row r="4" spans="1:25" ht="15.6" x14ac:dyDescent="0.3">
      <c r="A4" t="s">
        <v>23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s="2">
        <v>849</v>
      </c>
      <c r="H4" s="2">
        <v>147.72999999999999</v>
      </c>
      <c r="I4" s="2">
        <v>0</v>
      </c>
      <c r="J4" s="2">
        <v>381.55</v>
      </c>
      <c r="K4" s="2">
        <v>9.9700000000000006</v>
      </c>
      <c r="L4" s="2">
        <v>1388.24</v>
      </c>
      <c r="M4" s="2"/>
      <c r="N4" s="2"/>
      <c r="O4" s="2"/>
      <c r="P4" s="2"/>
      <c r="Q4" s="2"/>
      <c r="R4" s="2">
        <v>831.49</v>
      </c>
      <c r="S4" s="2"/>
      <c r="T4" s="2">
        <v>20</v>
      </c>
      <c r="U4" s="2">
        <v>183.04</v>
      </c>
      <c r="V4" s="2">
        <v>2402.7800000000002</v>
      </c>
      <c r="X4" s="3">
        <f t="shared" si="0"/>
        <v>36.5</v>
      </c>
      <c r="Y4" t="str">
        <f t="shared" si="1"/>
        <v>Marítimo</v>
      </c>
    </row>
    <row r="5" spans="1:25" ht="15.6" x14ac:dyDescent="0.3">
      <c r="A5" t="s">
        <v>23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s="2">
        <v>12194.38</v>
      </c>
      <c r="H5" s="2">
        <v>701.25</v>
      </c>
      <c r="I5" s="2">
        <v>0</v>
      </c>
      <c r="J5" s="2">
        <v>897.6</v>
      </c>
      <c r="K5" s="2">
        <v>220.19</v>
      </c>
      <c r="L5" s="2">
        <v>14013.42</v>
      </c>
      <c r="M5" s="2"/>
      <c r="N5" s="2"/>
      <c r="O5" s="2"/>
      <c r="P5" s="2">
        <v>85</v>
      </c>
      <c r="Q5" s="2"/>
      <c r="R5" s="2">
        <v>1594.19</v>
      </c>
      <c r="S5" s="2"/>
      <c r="T5" s="2">
        <v>20</v>
      </c>
      <c r="U5" s="2">
        <v>480.87</v>
      </c>
      <c r="V5" s="2">
        <v>16088.48</v>
      </c>
      <c r="W5">
        <v>1.3192999999999999</v>
      </c>
      <c r="X5" s="3">
        <f t="shared" si="0"/>
        <v>37.6555179</v>
      </c>
      <c r="Y5" t="str">
        <f t="shared" si="1"/>
        <v>Aéreo</v>
      </c>
    </row>
    <row r="6" spans="1:25" ht="15.6" x14ac:dyDescent="0.3">
      <c r="A6" t="s">
        <v>29</v>
      </c>
      <c r="B6" t="s">
        <v>45</v>
      </c>
      <c r="C6" t="s">
        <v>46</v>
      </c>
      <c r="D6" t="s">
        <v>32</v>
      </c>
      <c r="E6" t="s">
        <v>47</v>
      </c>
      <c r="F6" t="s">
        <v>48</v>
      </c>
      <c r="G6" s="2">
        <v>38924.33</v>
      </c>
      <c r="H6" s="2">
        <v>1009.2</v>
      </c>
      <c r="I6" s="2">
        <v>0</v>
      </c>
      <c r="J6" s="2">
        <v>1772.69</v>
      </c>
      <c r="K6" s="2">
        <v>449.2</v>
      </c>
      <c r="L6" s="2">
        <v>42155.42</v>
      </c>
      <c r="M6" s="2"/>
      <c r="N6" s="2"/>
      <c r="O6" s="2"/>
      <c r="P6" s="2">
        <v>75</v>
      </c>
      <c r="Q6" s="2">
        <v>2889.38</v>
      </c>
      <c r="R6" s="2">
        <v>958.64</v>
      </c>
      <c r="S6" s="2"/>
      <c r="T6" s="2">
        <v>20.9</v>
      </c>
      <c r="U6" s="2">
        <v>230.82</v>
      </c>
      <c r="V6" s="2">
        <v>43344.88</v>
      </c>
      <c r="W6">
        <v>1.1135999999999999</v>
      </c>
      <c r="X6" s="3">
        <f t="shared" si="0"/>
        <v>113.8579806</v>
      </c>
      <c r="Y6" t="str">
        <f t="shared" si="1"/>
        <v>Aéreo</v>
      </c>
    </row>
    <row r="7" spans="1:25" ht="15.6" x14ac:dyDescent="0.3">
      <c r="A7" t="s">
        <v>29</v>
      </c>
      <c r="B7" t="s">
        <v>45</v>
      </c>
      <c r="C7" t="s">
        <v>49</v>
      </c>
      <c r="D7" t="s">
        <v>50</v>
      </c>
      <c r="E7" t="s">
        <v>51</v>
      </c>
      <c r="F7" t="s">
        <v>52</v>
      </c>
      <c r="G7" s="2">
        <v>1145.2</v>
      </c>
      <c r="H7" s="2">
        <v>0</v>
      </c>
      <c r="I7" s="2">
        <v>0</v>
      </c>
      <c r="J7" s="2">
        <v>22.9</v>
      </c>
      <c r="K7" s="2">
        <v>8.59</v>
      </c>
      <c r="L7" s="2">
        <v>1176.69</v>
      </c>
      <c r="M7" s="2"/>
      <c r="N7" s="2"/>
      <c r="O7" s="2"/>
      <c r="P7" s="2"/>
      <c r="Q7" s="2"/>
      <c r="R7" s="2">
        <v>109</v>
      </c>
      <c r="S7" s="2"/>
      <c r="T7" s="2"/>
      <c r="U7" s="2"/>
      <c r="V7" s="2">
        <v>1285.69</v>
      </c>
      <c r="W7">
        <v>1.1227</v>
      </c>
      <c r="X7" s="3">
        <f t="shared" si="0"/>
        <v>36.5</v>
      </c>
      <c r="Y7" t="str">
        <f t="shared" si="1"/>
        <v>Aéreo</v>
      </c>
    </row>
    <row r="8" spans="1:25" ht="15.6" x14ac:dyDescent="0.3">
      <c r="A8" t="s">
        <v>29</v>
      </c>
      <c r="B8" t="s">
        <v>53</v>
      </c>
      <c r="C8" t="s">
        <v>54</v>
      </c>
      <c r="D8" t="s">
        <v>50</v>
      </c>
      <c r="E8" t="s">
        <v>51</v>
      </c>
      <c r="F8" t="s">
        <v>55</v>
      </c>
      <c r="G8" s="2">
        <v>2326.7399999999998</v>
      </c>
      <c r="H8" s="2">
        <v>130</v>
      </c>
      <c r="I8" s="2">
        <v>0</v>
      </c>
      <c r="J8" s="2">
        <v>416.5</v>
      </c>
      <c r="K8" s="2">
        <v>49.13</v>
      </c>
      <c r="L8" s="2">
        <v>2922.38</v>
      </c>
      <c r="M8" s="2"/>
      <c r="N8" s="2"/>
      <c r="O8" s="2"/>
      <c r="P8" s="2"/>
      <c r="Q8" s="2"/>
      <c r="R8" s="2">
        <v>126.27</v>
      </c>
      <c r="S8" s="2"/>
      <c r="T8" s="2"/>
      <c r="U8" s="2">
        <v>147.83000000000001</v>
      </c>
      <c r="V8" s="2">
        <v>3196.47</v>
      </c>
      <c r="W8">
        <v>1.3737999999999999</v>
      </c>
      <c r="X8" s="3">
        <f t="shared" si="0"/>
        <v>36.5</v>
      </c>
      <c r="Y8" t="str">
        <f t="shared" si="1"/>
        <v>Aéreo</v>
      </c>
    </row>
    <row r="9" spans="1:25" ht="15.6" x14ac:dyDescent="0.3">
      <c r="A9" t="s">
        <v>29</v>
      </c>
      <c r="B9" t="s">
        <v>56</v>
      </c>
      <c r="C9" t="s">
        <v>57</v>
      </c>
      <c r="D9" t="s">
        <v>32</v>
      </c>
      <c r="E9" t="s">
        <v>58</v>
      </c>
      <c r="F9" t="s">
        <v>59</v>
      </c>
      <c r="G9" s="2">
        <v>135942.96</v>
      </c>
      <c r="H9" s="2">
        <v>2283.4299999999998</v>
      </c>
      <c r="I9" s="2">
        <v>0</v>
      </c>
      <c r="J9" s="2">
        <v>2565</v>
      </c>
      <c r="K9" s="2">
        <v>1382.26</v>
      </c>
      <c r="L9" s="2">
        <v>142173.65</v>
      </c>
      <c r="M9" s="2"/>
      <c r="N9" s="2"/>
      <c r="O9" s="2">
        <v>291.63</v>
      </c>
      <c r="P9" s="2">
        <v>100</v>
      </c>
      <c r="Q9" s="2">
        <v>4848.4799999999996</v>
      </c>
      <c r="R9" s="2">
        <v>901.63</v>
      </c>
      <c r="S9" s="2"/>
      <c r="T9" s="2">
        <v>20.9</v>
      </c>
      <c r="U9" s="2">
        <v>1216.9100000000001</v>
      </c>
      <c r="V9" s="2">
        <v>144292.19</v>
      </c>
      <c r="W9">
        <v>1.0613999999999999</v>
      </c>
      <c r="X9" s="3">
        <f t="shared" si="0"/>
        <v>384.36049469999995</v>
      </c>
      <c r="Y9" t="str">
        <f t="shared" si="1"/>
        <v>Marítimo</v>
      </c>
    </row>
    <row r="10" spans="1:25" ht="15.6" x14ac:dyDescent="0.3">
      <c r="A10" t="s">
        <v>29</v>
      </c>
      <c r="B10" t="s">
        <v>60</v>
      </c>
      <c r="C10" t="s">
        <v>61</v>
      </c>
      <c r="D10" t="s">
        <v>32</v>
      </c>
      <c r="E10" t="s">
        <v>58</v>
      </c>
      <c r="F10" t="s">
        <v>62</v>
      </c>
      <c r="G10" s="2">
        <v>47185.440000000002</v>
      </c>
      <c r="H10" s="2">
        <v>875.8</v>
      </c>
      <c r="I10" s="2">
        <v>0</v>
      </c>
      <c r="J10" s="2">
        <v>2286.36</v>
      </c>
      <c r="K10" s="2">
        <v>479.03</v>
      </c>
      <c r="L10" s="2">
        <v>50826.63</v>
      </c>
      <c r="M10" s="2"/>
      <c r="N10" s="2"/>
      <c r="O10" s="2"/>
      <c r="P10" s="2">
        <v>200</v>
      </c>
      <c r="Q10" s="2"/>
      <c r="R10" s="2">
        <v>793.75</v>
      </c>
      <c r="S10" s="2"/>
      <c r="T10" s="2">
        <v>20.9</v>
      </c>
      <c r="U10" s="2">
        <v>527.20000000000005</v>
      </c>
      <c r="V10" s="2">
        <v>52147.57</v>
      </c>
      <c r="W10">
        <v>1.1052</v>
      </c>
      <c r="X10" s="3">
        <f t="shared" si="0"/>
        <v>137.44894800000003</v>
      </c>
      <c r="Y10" t="str">
        <f t="shared" si="1"/>
        <v>Marítimo</v>
      </c>
    </row>
    <row r="11" spans="1:25" ht="15.6" x14ac:dyDescent="0.3">
      <c r="A11" t="s">
        <v>63</v>
      </c>
      <c r="B11" t="s">
        <v>64</v>
      </c>
      <c r="C11" t="s">
        <v>65</v>
      </c>
      <c r="D11" t="s">
        <v>26</v>
      </c>
      <c r="E11" t="s">
        <v>58</v>
      </c>
      <c r="F11" t="s">
        <v>66</v>
      </c>
      <c r="G11" s="2">
        <v>35310</v>
      </c>
      <c r="H11" s="2">
        <v>1160</v>
      </c>
      <c r="I11" s="2">
        <v>0</v>
      </c>
      <c r="J11" s="2">
        <v>984.08</v>
      </c>
      <c r="K11" s="2">
        <v>364.7</v>
      </c>
      <c r="L11" s="2">
        <v>37818.78</v>
      </c>
      <c r="M11" s="2"/>
      <c r="N11" s="2">
        <v>220</v>
      </c>
      <c r="O11" s="2">
        <v>153.11000000000001</v>
      </c>
      <c r="P11" s="2"/>
      <c r="Q11" s="2"/>
      <c r="R11" s="2">
        <v>653.11</v>
      </c>
      <c r="S11" s="2"/>
      <c r="T11" s="2">
        <v>20</v>
      </c>
      <c r="U11" s="2">
        <v>399.86</v>
      </c>
      <c r="V11" s="2">
        <v>38871.75</v>
      </c>
      <c r="W11">
        <v>1.1009</v>
      </c>
      <c r="X11" s="3">
        <f t="shared" si="0"/>
        <v>102.24963840000001</v>
      </c>
      <c r="Y11" t="str">
        <f t="shared" si="1"/>
        <v>Marítimo</v>
      </c>
    </row>
    <row r="12" spans="1:25" ht="15.6" x14ac:dyDescent="0.3">
      <c r="A12" t="s">
        <v>23</v>
      </c>
      <c r="B12" t="s">
        <v>67</v>
      </c>
      <c r="C12" t="s">
        <v>68</v>
      </c>
      <c r="D12" t="s">
        <v>26</v>
      </c>
      <c r="E12" t="s">
        <v>69</v>
      </c>
      <c r="F12" t="s">
        <v>70</v>
      </c>
      <c r="G12" s="2">
        <v>2451.8200000000002</v>
      </c>
      <c r="H12" s="2">
        <v>0</v>
      </c>
      <c r="I12" s="2">
        <v>0</v>
      </c>
      <c r="J12" s="2">
        <v>275</v>
      </c>
      <c r="K12" s="2">
        <v>33.64</v>
      </c>
      <c r="L12" s="2">
        <v>2760.46</v>
      </c>
      <c r="M12" s="2"/>
      <c r="N12" s="2"/>
      <c r="O12" s="2"/>
      <c r="P12" s="2">
        <v>35</v>
      </c>
      <c r="Q12" s="2"/>
      <c r="R12" s="2">
        <v>233.81</v>
      </c>
      <c r="S12" s="2"/>
      <c r="T12" s="2">
        <v>20</v>
      </c>
      <c r="U12" s="2">
        <v>183.04</v>
      </c>
      <c r="V12" s="2">
        <v>3177.31</v>
      </c>
      <c r="W12">
        <v>1.2959000000000001</v>
      </c>
      <c r="X12" s="3">
        <f t="shared" si="0"/>
        <v>36.5</v>
      </c>
      <c r="Y12" t="str">
        <f t="shared" si="1"/>
        <v>Aéreo</v>
      </c>
    </row>
    <row r="13" spans="1:25" ht="15.6" x14ac:dyDescent="0.3">
      <c r="A13" t="s">
        <v>29</v>
      </c>
      <c r="B13" t="s">
        <v>71</v>
      </c>
      <c r="C13" t="s">
        <v>72</v>
      </c>
      <c r="D13" t="s">
        <v>32</v>
      </c>
      <c r="E13" t="s">
        <v>73</v>
      </c>
      <c r="F13" t="s">
        <v>74</v>
      </c>
      <c r="G13" s="2">
        <v>579505.84</v>
      </c>
      <c r="H13" s="2">
        <v>4879.26</v>
      </c>
      <c r="I13" s="2">
        <v>0</v>
      </c>
      <c r="J13" s="2">
        <v>4630</v>
      </c>
      <c r="K13" s="2">
        <v>5843.85</v>
      </c>
      <c r="L13" s="2">
        <v>594858.94999999995</v>
      </c>
      <c r="M13" s="2">
        <v>490</v>
      </c>
      <c r="N13" s="2">
        <v>430</v>
      </c>
      <c r="O13" s="2">
        <v>583.26</v>
      </c>
      <c r="P13" s="2">
        <v>100</v>
      </c>
      <c r="Q13" s="2">
        <v>9509.26</v>
      </c>
      <c r="R13" s="2">
        <v>1603.26</v>
      </c>
      <c r="S13" s="2"/>
      <c r="T13" s="2">
        <v>20.9</v>
      </c>
      <c r="U13" s="2">
        <v>2713.85</v>
      </c>
      <c r="V13" s="2">
        <v>599176.06000000006</v>
      </c>
      <c r="W13">
        <v>1.0339</v>
      </c>
      <c r="X13" s="3">
        <f t="shared" si="0"/>
        <v>1608.011223</v>
      </c>
      <c r="Y13" t="str">
        <f t="shared" si="1"/>
        <v>Marítimo</v>
      </c>
    </row>
    <row r="14" spans="1:25" ht="15.6" x14ac:dyDescent="0.3">
      <c r="A14" t="s">
        <v>29</v>
      </c>
      <c r="B14" t="s">
        <v>30</v>
      </c>
      <c r="C14" t="s">
        <v>75</v>
      </c>
      <c r="D14" t="s">
        <v>32</v>
      </c>
      <c r="E14" t="s">
        <v>76</v>
      </c>
      <c r="F14" t="s">
        <v>77</v>
      </c>
      <c r="G14" s="2">
        <v>70860</v>
      </c>
      <c r="H14" s="2">
        <v>5000</v>
      </c>
      <c r="I14" s="2">
        <v>0</v>
      </c>
      <c r="J14" s="2">
        <v>3000</v>
      </c>
      <c r="K14" s="2">
        <v>122.04</v>
      </c>
      <c r="L14" s="2">
        <v>78982.039999999994</v>
      </c>
      <c r="M14" s="2"/>
      <c r="N14" s="2"/>
      <c r="O14" s="2"/>
      <c r="P14" s="2"/>
      <c r="Q14" s="2"/>
      <c r="R14" s="2">
        <v>4000</v>
      </c>
      <c r="S14" s="2"/>
      <c r="T14" s="2">
        <v>80</v>
      </c>
      <c r="U14" s="2">
        <v>318.36</v>
      </c>
      <c r="V14" s="2">
        <v>83300.399999999994</v>
      </c>
      <c r="W14">
        <v>1.1756</v>
      </c>
      <c r="X14" s="3">
        <f t="shared" si="0"/>
        <v>215.2878</v>
      </c>
      <c r="Y14" t="str">
        <f t="shared" si="1"/>
        <v>Terrestre</v>
      </c>
    </row>
    <row r="15" spans="1:25" ht="15.6" x14ac:dyDescent="0.3">
      <c r="A15" t="s">
        <v>29</v>
      </c>
      <c r="B15" t="s">
        <v>45</v>
      </c>
      <c r="C15" t="s">
        <v>78</v>
      </c>
      <c r="D15" t="s">
        <v>26</v>
      </c>
      <c r="E15" t="s">
        <v>42</v>
      </c>
      <c r="F15" t="s">
        <v>79</v>
      </c>
      <c r="G15" s="2">
        <v>44574.16</v>
      </c>
      <c r="H15" s="2">
        <v>810</v>
      </c>
      <c r="I15" s="2">
        <v>0</v>
      </c>
      <c r="J15" s="2">
        <v>556.5</v>
      </c>
      <c r="K15" s="2">
        <v>67.67</v>
      </c>
      <c r="L15" s="2">
        <v>46008.33</v>
      </c>
      <c r="M15" s="2"/>
      <c r="N15" s="2"/>
      <c r="O15" s="2"/>
      <c r="P15" s="2"/>
      <c r="Q15" s="2"/>
      <c r="R15" s="2">
        <v>470</v>
      </c>
      <c r="S15" s="2"/>
      <c r="T15" s="2">
        <v>20.9</v>
      </c>
      <c r="U15" s="2">
        <v>341.36</v>
      </c>
      <c r="V15" s="2">
        <v>46819.69</v>
      </c>
      <c r="W15">
        <v>1.0504</v>
      </c>
      <c r="X15" s="3">
        <f t="shared" si="0"/>
        <v>125.41800180000001</v>
      </c>
      <c r="Y15" t="str">
        <f t="shared" si="1"/>
        <v>Marítimo</v>
      </c>
    </row>
    <row r="16" spans="1:25" ht="15.6" x14ac:dyDescent="0.3">
      <c r="A16" t="s">
        <v>29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s="2">
        <v>81277</v>
      </c>
      <c r="H16" s="2">
        <v>2285</v>
      </c>
      <c r="I16" s="2">
        <v>0</v>
      </c>
      <c r="J16" s="2">
        <v>3100</v>
      </c>
      <c r="K16" s="2">
        <v>122.72</v>
      </c>
      <c r="L16" s="2">
        <v>86784.72</v>
      </c>
      <c r="M16" s="2"/>
      <c r="N16" s="2"/>
      <c r="O16" s="2">
        <v>420</v>
      </c>
      <c r="P16" s="2"/>
      <c r="Q16" s="2"/>
      <c r="R16" s="2">
        <v>780</v>
      </c>
      <c r="S16" s="2"/>
      <c r="T16" s="2">
        <v>40.9</v>
      </c>
      <c r="U16" s="2">
        <v>1631.19</v>
      </c>
      <c r="V16" s="2">
        <v>89195.91</v>
      </c>
      <c r="W16">
        <v>1.0973999999999999</v>
      </c>
      <c r="X16" s="3">
        <f t="shared" si="0"/>
        <v>236.58726000000001</v>
      </c>
      <c r="Y16" t="str">
        <f t="shared" si="1"/>
        <v>Marítimo</v>
      </c>
    </row>
    <row r="17" spans="1:25" ht="15.6" x14ac:dyDescent="0.3">
      <c r="A17" t="s">
        <v>29</v>
      </c>
      <c r="B17" t="s">
        <v>85</v>
      </c>
      <c r="C17" t="s">
        <v>86</v>
      </c>
      <c r="D17" t="s">
        <v>26</v>
      </c>
      <c r="E17" t="s">
        <v>83</v>
      </c>
      <c r="F17" t="s">
        <v>87</v>
      </c>
      <c r="G17" s="2">
        <v>47173.16</v>
      </c>
      <c r="H17" s="2">
        <v>1206.5</v>
      </c>
      <c r="I17" s="2">
        <v>0</v>
      </c>
      <c r="J17" s="2">
        <v>3111.5</v>
      </c>
      <c r="K17" s="2">
        <v>72.989999999999995</v>
      </c>
      <c r="L17" s="2">
        <v>51564.15</v>
      </c>
      <c r="M17" s="2"/>
      <c r="N17" s="2"/>
      <c r="O17" s="2"/>
      <c r="P17" s="2"/>
      <c r="Q17" s="2"/>
      <c r="R17" s="2">
        <v>973.95</v>
      </c>
      <c r="S17" s="2"/>
      <c r="T17" s="2">
        <v>20.9</v>
      </c>
      <c r="U17" s="2">
        <v>552.13</v>
      </c>
      <c r="V17" s="2">
        <v>53090.23</v>
      </c>
      <c r="W17">
        <v>1.1254</v>
      </c>
      <c r="X17" s="3">
        <f t="shared" si="0"/>
        <v>140.5708668</v>
      </c>
      <c r="Y17" t="str">
        <f t="shared" si="1"/>
        <v>Marítimo</v>
      </c>
    </row>
    <row r="18" spans="1:25" ht="15.6" x14ac:dyDescent="0.3">
      <c r="A18" t="s">
        <v>23</v>
      </c>
      <c r="B18" t="s">
        <v>88</v>
      </c>
      <c r="C18" t="s">
        <v>89</v>
      </c>
      <c r="D18" t="s">
        <v>26</v>
      </c>
      <c r="E18" t="s">
        <v>90</v>
      </c>
      <c r="F18" t="s">
        <v>91</v>
      </c>
      <c r="G18" s="2">
        <v>22210</v>
      </c>
      <c r="H18" s="2">
        <v>0</v>
      </c>
      <c r="I18" s="2">
        <v>0</v>
      </c>
      <c r="J18" s="2">
        <v>1600</v>
      </c>
      <c r="K18" s="2">
        <v>222.1</v>
      </c>
      <c r="L18" s="2">
        <v>24032.1</v>
      </c>
      <c r="M18" s="2"/>
      <c r="N18" s="2"/>
      <c r="O18" s="2">
        <v>190</v>
      </c>
      <c r="P18" s="2"/>
      <c r="Q18" s="2"/>
      <c r="R18" s="2">
        <v>390</v>
      </c>
      <c r="S18" s="2"/>
      <c r="T18" s="2">
        <v>20</v>
      </c>
      <c r="U18" s="2">
        <v>979.57</v>
      </c>
      <c r="V18" s="2">
        <v>25401.67</v>
      </c>
      <c r="W18">
        <v>1.1436999999999999</v>
      </c>
      <c r="X18" s="3">
        <f t="shared" si="0"/>
        <v>65.001300000000001</v>
      </c>
      <c r="Y18" t="str">
        <f t="shared" si="1"/>
        <v>Marítimo</v>
      </c>
    </row>
    <row r="19" spans="1:25" ht="15.6" x14ac:dyDescent="0.3">
      <c r="A19" t="s">
        <v>23</v>
      </c>
      <c r="B19" t="s">
        <v>67</v>
      </c>
      <c r="C19" t="s">
        <v>92</v>
      </c>
      <c r="D19" t="s">
        <v>26</v>
      </c>
      <c r="E19" t="s">
        <v>90</v>
      </c>
      <c r="F19" t="s">
        <v>93</v>
      </c>
      <c r="G19" s="2">
        <v>16424.25</v>
      </c>
      <c r="H19" s="2">
        <v>243.54</v>
      </c>
      <c r="I19" s="2">
        <v>0</v>
      </c>
      <c r="J19" s="2">
        <v>253.04</v>
      </c>
      <c r="K19" s="2">
        <v>166.68</v>
      </c>
      <c r="L19" s="2">
        <v>17087.509999999998</v>
      </c>
      <c r="M19" s="2"/>
      <c r="N19" s="2"/>
      <c r="O19" s="2"/>
      <c r="P19" s="2">
        <v>80</v>
      </c>
      <c r="Q19" s="2"/>
      <c r="R19" s="2">
        <v>292.27</v>
      </c>
      <c r="S19" s="2"/>
      <c r="T19" s="2">
        <v>20</v>
      </c>
      <c r="U19" s="2">
        <v>183.04</v>
      </c>
      <c r="V19" s="2">
        <v>17562.830000000002</v>
      </c>
      <c r="W19">
        <v>1.0692999999999999</v>
      </c>
      <c r="X19" s="3">
        <f t="shared" si="0"/>
        <v>46.193865899999999</v>
      </c>
      <c r="Y19" t="str">
        <f t="shared" si="1"/>
        <v>Aéreo</v>
      </c>
    </row>
    <row r="20" spans="1:25" ht="15.6" x14ac:dyDescent="0.3">
      <c r="A20" t="s">
        <v>63</v>
      </c>
      <c r="B20" t="s">
        <v>94</v>
      </c>
      <c r="C20" t="s">
        <v>95</v>
      </c>
      <c r="D20" t="s">
        <v>50</v>
      </c>
      <c r="E20" t="s">
        <v>96</v>
      </c>
      <c r="F20" t="s">
        <v>97</v>
      </c>
      <c r="G20" s="2">
        <v>52264.81</v>
      </c>
      <c r="H20" s="2">
        <v>0</v>
      </c>
      <c r="I20" s="2">
        <v>0</v>
      </c>
      <c r="J20" s="2">
        <v>6686.95</v>
      </c>
      <c r="K20" s="2">
        <v>695.12</v>
      </c>
      <c r="L20" s="2">
        <v>59646.879999999997</v>
      </c>
      <c r="M20" s="2"/>
      <c r="N20" s="2"/>
      <c r="O20" s="2">
        <v>368.95</v>
      </c>
      <c r="P20" s="2"/>
      <c r="Q20" s="2"/>
      <c r="R20" s="2">
        <v>574</v>
      </c>
      <c r="S20" s="2"/>
      <c r="T20" s="2">
        <v>20</v>
      </c>
      <c r="U20" s="2">
        <v>711.98</v>
      </c>
      <c r="V20" s="2">
        <v>60932.86</v>
      </c>
      <c r="W20">
        <v>1.1657999999999999</v>
      </c>
      <c r="X20" s="3">
        <f t="shared" si="0"/>
        <v>160.9383048</v>
      </c>
      <c r="Y20" t="str">
        <f t="shared" si="1"/>
        <v>Marítimo</v>
      </c>
    </row>
    <row r="21" spans="1:25" ht="15.6" x14ac:dyDescent="0.3">
      <c r="A21" t="s">
        <v>29</v>
      </c>
      <c r="B21" t="s">
        <v>30</v>
      </c>
      <c r="C21" t="s">
        <v>98</v>
      </c>
      <c r="D21" t="s">
        <v>32</v>
      </c>
      <c r="E21" t="s">
        <v>99</v>
      </c>
      <c r="F21" t="s">
        <v>100</v>
      </c>
      <c r="G21" s="2">
        <v>167326</v>
      </c>
      <c r="H21" s="2">
        <v>5000</v>
      </c>
      <c r="I21" s="2">
        <v>0</v>
      </c>
      <c r="J21" s="2">
        <v>3000</v>
      </c>
      <c r="K21" s="2">
        <v>1723.26</v>
      </c>
      <c r="L21" s="2">
        <v>177049.26</v>
      </c>
      <c r="M21" s="2"/>
      <c r="N21" s="2"/>
      <c r="O21" s="2"/>
      <c r="P21" s="2"/>
      <c r="Q21" s="2"/>
      <c r="R21" s="2">
        <v>4000</v>
      </c>
      <c r="S21" s="2"/>
      <c r="T21" s="2">
        <v>80</v>
      </c>
      <c r="U21" s="2">
        <v>563.52</v>
      </c>
      <c r="V21" s="2">
        <v>181612.78</v>
      </c>
      <c r="W21">
        <v>1.0853999999999999</v>
      </c>
      <c r="X21" s="3">
        <f t="shared" si="0"/>
        <v>478.63998000000004</v>
      </c>
      <c r="Y21" t="str">
        <f t="shared" si="1"/>
        <v>Terrestre</v>
      </c>
    </row>
    <row r="22" spans="1:25" ht="15.6" x14ac:dyDescent="0.3">
      <c r="A22" t="s">
        <v>29</v>
      </c>
      <c r="B22" t="s">
        <v>101</v>
      </c>
      <c r="C22" t="s">
        <v>102</v>
      </c>
      <c r="D22" t="s">
        <v>32</v>
      </c>
      <c r="E22" t="s">
        <v>99</v>
      </c>
      <c r="F22" t="s">
        <v>103</v>
      </c>
      <c r="G22" s="2">
        <v>41186.980000000003</v>
      </c>
      <c r="H22" s="2">
        <v>2500</v>
      </c>
      <c r="I22" s="2">
        <v>0</v>
      </c>
      <c r="J22" s="2">
        <v>1500</v>
      </c>
      <c r="K22" s="2">
        <v>436.87</v>
      </c>
      <c r="L22" s="2">
        <v>45623.85</v>
      </c>
      <c r="M22" s="2"/>
      <c r="N22" s="2"/>
      <c r="O22" s="2"/>
      <c r="P22" s="2"/>
      <c r="Q22" s="2"/>
      <c r="R22" s="2">
        <v>2000</v>
      </c>
      <c r="S22" s="2"/>
      <c r="T22" s="2">
        <v>80</v>
      </c>
      <c r="U22" s="2">
        <v>240.9</v>
      </c>
      <c r="V22" s="2">
        <v>47864.75</v>
      </c>
      <c r="W22">
        <v>1.1620999999999999</v>
      </c>
      <c r="X22" s="3">
        <f t="shared" si="0"/>
        <v>123.36045540000001</v>
      </c>
      <c r="Y22" t="str">
        <f t="shared" si="1"/>
        <v>Terrestre</v>
      </c>
    </row>
    <row r="23" spans="1:25" ht="15.6" x14ac:dyDescent="0.3">
      <c r="A23" t="s">
        <v>29</v>
      </c>
      <c r="B23" t="s">
        <v>35</v>
      </c>
      <c r="C23" t="s">
        <v>104</v>
      </c>
      <c r="D23" t="s">
        <v>32</v>
      </c>
      <c r="E23" t="s">
        <v>105</v>
      </c>
      <c r="F23" t="s">
        <v>106</v>
      </c>
      <c r="G23" s="2">
        <v>35325.75</v>
      </c>
      <c r="H23" s="2">
        <v>2066.25</v>
      </c>
      <c r="I23" s="2">
        <v>0</v>
      </c>
      <c r="J23" s="2">
        <v>2415</v>
      </c>
      <c r="K23" s="2">
        <v>373.92</v>
      </c>
      <c r="L23" s="2">
        <v>40180.92</v>
      </c>
      <c r="M23" s="2"/>
      <c r="N23" s="2"/>
      <c r="O23" s="2">
        <v>291.63</v>
      </c>
      <c r="P23" s="2">
        <v>100</v>
      </c>
      <c r="Q23" s="2"/>
      <c r="R23" s="2">
        <v>901.63</v>
      </c>
      <c r="S23" s="2"/>
      <c r="T23" s="2">
        <v>20.9</v>
      </c>
      <c r="U23" s="2">
        <v>494.68</v>
      </c>
      <c r="V23" s="2">
        <v>41577.24</v>
      </c>
      <c r="W23">
        <v>1.177</v>
      </c>
      <c r="X23" s="3">
        <f t="shared" si="0"/>
        <v>108.67310999999999</v>
      </c>
      <c r="Y23" t="str">
        <f t="shared" si="1"/>
        <v>Marítimo</v>
      </c>
    </row>
    <row r="24" spans="1:25" ht="15.6" x14ac:dyDescent="0.3">
      <c r="A24" t="s">
        <v>29</v>
      </c>
      <c r="B24" t="s">
        <v>45</v>
      </c>
      <c r="C24" t="s">
        <v>107</v>
      </c>
      <c r="D24" t="s">
        <v>37</v>
      </c>
      <c r="E24" t="s">
        <v>108</v>
      </c>
      <c r="F24" t="s">
        <v>109</v>
      </c>
      <c r="G24" s="2">
        <v>4703.6099999999997</v>
      </c>
      <c r="H24" s="2">
        <v>0</v>
      </c>
      <c r="I24" s="2">
        <v>0</v>
      </c>
      <c r="J24" s="2">
        <v>229.06</v>
      </c>
      <c r="K24" s="2">
        <v>36.049999999999997</v>
      </c>
      <c r="L24" s="2">
        <v>4968.72</v>
      </c>
      <c r="M24" s="2"/>
      <c r="N24" s="2"/>
      <c r="O24" s="2"/>
      <c r="P24" s="2"/>
      <c r="Q24" s="2"/>
      <c r="R24" s="2">
        <v>379.06</v>
      </c>
      <c r="S24" s="2"/>
      <c r="T24" s="2">
        <v>20.9</v>
      </c>
      <c r="U24" s="2">
        <v>214.23</v>
      </c>
      <c r="V24" s="2">
        <v>5562.01</v>
      </c>
      <c r="W24">
        <v>1.1825000000000001</v>
      </c>
      <c r="X24" s="3">
        <f t="shared" si="0"/>
        <v>36.5</v>
      </c>
      <c r="Y24" t="str">
        <f t="shared" si="1"/>
        <v>Aéreo</v>
      </c>
    </row>
    <row r="25" spans="1:25" ht="15.6" x14ac:dyDescent="0.3">
      <c r="A25" t="s">
        <v>29</v>
      </c>
      <c r="B25" t="s">
        <v>110</v>
      </c>
      <c r="C25" t="s">
        <v>111</v>
      </c>
      <c r="D25" t="s">
        <v>32</v>
      </c>
      <c r="E25" t="s">
        <v>108</v>
      </c>
      <c r="F25" t="s">
        <v>112</v>
      </c>
      <c r="G25" s="2">
        <v>13943</v>
      </c>
      <c r="H25" s="2">
        <v>0</v>
      </c>
      <c r="I25" s="2">
        <v>0</v>
      </c>
      <c r="J25" s="2">
        <v>1700</v>
      </c>
      <c r="K25" s="2">
        <v>36.049999999999997</v>
      </c>
      <c r="L25" s="2">
        <v>15679.05</v>
      </c>
      <c r="M25" s="2"/>
      <c r="N25" s="2"/>
      <c r="O25" s="2">
        <v>210</v>
      </c>
      <c r="P25" s="2"/>
      <c r="Q25" s="2">
        <v>1700</v>
      </c>
      <c r="R25" s="2">
        <v>570</v>
      </c>
      <c r="S25" s="2"/>
      <c r="T25" s="2">
        <v>40</v>
      </c>
      <c r="U25" s="2">
        <v>812.57</v>
      </c>
      <c r="V25" s="2">
        <v>17061.62</v>
      </c>
      <c r="W25">
        <v>1.2237</v>
      </c>
      <c r="X25" s="3">
        <f t="shared" si="0"/>
        <v>42.705390000000001</v>
      </c>
      <c r="Y25" t="str">
        <f t="shared" si="1"/>
        <v>Marítimo</v>
      </c>
    </row>
    <row r="26" spans="1:25" ht="15.6" x14ac:dyDescent="0.3">
      <c r="A26" t="s">
        <v>29</v>
      </c>
      <c r="B26" t="s">
        <v>113</v>
      </c>
      <c r="C26" t="s">
        <v>114</v>
      </c>
      <c r="D26" t="s">
        <v>32</v>
      </c>
      <c r="E26" t="s">
        <v>115</v>
      </c>
      <c r="F26" t="s">
        <v>116</v>
      </c>
      <c r="G26" s="2">
        <v>4321.18</v>
      </c>
      <c r="H26" s="2">
        <v>944.48</v>
      </c>
      <c r="I26" s="2">
        <v>0</v>
      </c>
      <c r="J26" s="2">
        <v>436.62</v>
      </c>
      <c r="K26" s="2">
        <v>36.049999999999997</v>
      </c>
      <c r="L26" s="2">
        <v>5738.34</v>
      </c>
      <c r="M26" s="2"/>
      <c r="N26" s="2"/>
      <c r="O26" s="2"/>
      <c r="P26" s="2"/>
      <c r="Q26" s="2"/>
      <c r="R26" s="2">
        <v>497.67</v>
      </c>
      <c r="S26" s="2"/>
      <c r="T26" s="2">
        <v>20.9</v>
      </c>
      <c r="U26" s="2">
        <v>240.39</v>
      </c>
      <c r="V26" s="2">
        <v>6476.4</v>
      </c>
      <c r="W26">
        <v>1.4987999999999999</v>
      </c>
      <c r="X26" s="3">
        <f t="shared" si="0"/>
        <v>36.5</v>
      </c>
      <c r="Y26" t="str">
        <f t="shared" si="1"/>
        <v>Marítimo</v>
      </c>
    </row>
    <row r="27" spans="1:25" ht="15.6" x14ac:dyDescent="0.3">
      <c r="A27" t="s">
        <v>29</v>
      </c>
      <c r="B27" t="s">
        <v>45</v>
      </c>
      <c r="C27" t="s">
        <v>117</v>
      </c>
      <c r="D27" t="s">
        <v>37</v>
      </c>
      <c r="E27" t="s">
        <v>115</v>
      </c>
      <c r="F27" t="s">
        <v>118</v>
      </c>
      <c r="G27" s="2">
        <v>5405.74</v>
      </c>
      <c r="H27" s="2">
        <v>0</v>
      </c>
      <c r="I27" s="2">
        <v>0</v>
      </c>
      <c r="J27" s="2">
        <v>241.61</v>
      </c>
      <c r="K27" s="2">
        <v>36.049999999999997</v>
      </c>
      <c r="L27" s="2">
        <v>5683.4</v>
      </c>
      <c r="M27" s="2"/>
      <c r="N27" s="2"/>
      <c r="O27" s="2"/>
      <c r="P27" s="2"/>
      <c r="Q27" s="2"/>
      <c r="R27" s="2">
        <v>682.21</v>
      </c>
      <c r="S27" s="2"/>
      <c r="T27" s="2">
        <v>20.9</v>
      </c>
      <c r="U27" s="2">
        <v>214.23</v>
      </c>
      <c r="V27" s="2">
        <v>6579.84</v>
      </c>
      <c r="W27">
        <v>1.2172000000000001</v>
      </c>
      <c r="X27" s="3">
        <f t="shared" si="0"/>
        <v>36.5</v>
      </c>
      <c r="Y27" t="str">
        <f t="shared" si="1"/>
        <v>Aéreo</v>
      </c>
    </row>
    <row r="28" spans="1:25" ht="15.6" x14ac:dyDescent="0.3">
      <c r="A28" t="s">
        <v>29</v>
      </c>
      <c r="B28" t="s">
        <v>119</v>
      </c>
      <c r="C28" t="s">
        <v>120</v>
      </c>
      <c r="D28" t="s">
        <v>32</v>
      </c>
      <c r="E28" t="s">
        <v>121</v>
      </c>
      <c r="F28" t="s">
        <v>122</v>
      </c>
      <c r="G28" s="2">
        <v>645.70000000000005</v>
      </c>
      <c r="H28" s="2">
        <v>20</v>
      </c>
      <c r="I28" s="2">
        <v>0</v>
      </c>
      <c r="J28" s="2">
        <v>59.75</v>
      </c>
      <c r="K28" s="2">
        <v>4.99</v>
      </c>
      <c r="L28" s="2">
        <v>730.44</v>
      </c>
      <c r="M28" s="2"/>
      <c r="N28" s="2"/>
      <c r="O28" s="2"/>
      <c r="P28" s="2"/>
      <c r="Q28" s="2"/>
      <c r="R28" s="2">
        <v>279.99</v>
      </c>
      <c r="S28" s="2"/>
      <c r="T28" s="2"/>
      <c r="U28" s="2"/>
      <c r="V28" s="2">
        <v>1010.43</v>
      </c>
      <c r="W28">
        <v>1.5649</v>
      </c>
      <c r="X28" s="3">
        <f t="shared" si="0"/>
        <v>36.5</v>
      </c>
      <c r="Y28" t="str">
        <f t="shared" si="1"/>
        <v>Aéreo</v>
      </c>
    </row>
    <row r="29" spans="1:25" ht="15.6" x14ac:dyDescent="0.3">
      <c r="A29" t="s">
        <v>63</v>
      </c>
      <c r="B29" t="s">
        <v>123</v>
      </c>
      <c r="C29" t="s">
        <v>124</v>
      </c>
      <c r="D29" t="s">
        <v>32</v>
      </c>
      <c r="E29" t="s">
        <v>121</v>
      </c>
      <c r="F29" t="s">
        <v>125</v>
      </c>
      <c r="G29" s="2">
        <v>12242.2</v>
      </c>
      <c r="H29" s="2">
        <v>787.51</v>
      </c>
      <c r="I29" s="2">
        <v>0</v>
      </c>
      <c r="J29" s="2">
        <v>920.7</v>
      </c>
      <c r="K29" s="2">
        <v>182.43</v>
      </c>
      <c r="L29" s="2">
        <v>14132.84</v>
      </c>
      <c r="M29" s="2"/>
      <c r="N29" s="2"/>
      <c r="O29" s="2">
        <v>210</v>
      </c>
      <c r="P29" s="2"/>
      <c r="Q29" s="2"/>
      <c r="R29" s="2">
        <v>479.86</v>
      </c>
      <c r="S29" s="2"/>
      <c r="T29" s="2">
        <v>20</v>
      </c>
      <c r="U29" s="2">
        <v>256.08999999999997</v>
      </c>
      <c r="V29" s="2">
        <v>14868.79</v>
      </c>
      <c r="W29">
        <v>1.2145999999999999</v>
      </c>
      <c r="X29" s="3">
        <f t="shared" si="0"/>
        <v>38.084619300000007</v>
      </c>
      <c r="Y29" t="str">
        <f t="shared" si="1"/>
        <v>Marítimo</v>
      </c>
    </row>
    <row r="30" spans="1:25" ht="15.6" x14ac:dyDescent="0.3">
      <c r="A30" t="s">
        <v>29</v>
      </c>
      <c r="B30" t="s">
        <v>126</v>
      </c>
      <c r="C30" t="s">
        <v>127</v>
      </c>
      <c r="D30" t="s">
        <v>32</v>
      </c>
      <c r="E30" t="s">
        <v>128</v>
      </c>
      <c r="F30" t="s">
        <v>129</v>
      </c>
      <c r="G30" s="2">
        <v>64000</v>
      </c>
      <c r="H30" s="2">
        <v>0</v>
      </c>
      <c r="I30" s="2">
        <v>0</v>
      </c>
      <c r="J30" s="2">
        <v>3400</v>
      </c>
      <c r="K30" s="2">
        <v>99.27</v>
      </c>
      <c r="L30" s="2">
        <v>67499.27</v>
      </c>
      <c r="M30" s="2"/>
      <c r="N30" s="2"/>
      <c r="O30" s="2">
        <v>583.26</v>
      </c>
      <c r="P30" s="2"/>
      <c r="Q30" s="2"/>
      <c r="R30" s="2">
        <v>1821.26</v>
      </c>
      <c r="S30" s="2"/>
      <c r="T30" s="2">
        <v>20.9</v>
      </c>
      <c r="U30" s="2">
        <v>896.32</v>
      </c>
      <c r="V30" s="2">
        <v>70216.850000000006</v>
      </c>
      <c r="W30">
        <v>1.0971</v>
      </c>
      <c r="X30" s="3">
        <f t="shared" si="0"/>
        <v>184.00199999999998</v>
      </c>
      <c r="Y30" t="str">
        <f t="shared" si="1"/>
        <v>Marítimo</v>
      </c>
    </row>
    <row r="31" spans="1:25" ht="15.6" x14ac:dyDescent="0.3">
      <c r="A31" t="s">
        <v>63</v>
      </c>
      <c r="B31" t="s">
        <v>85</v>
      </c>
      <c r="C31" t="s">
        <v>130</v>
      </c>
      <c r="D31" t="s">
        <v>32</v>
      </c>
      <c r="E31" t="s">
        <v>128</v>
      </c>
      <c r="F31" t="s">
        <v>131</v>
      </c>
      <c r="G31" s="2">
        <v>74735.95</v>
      </c>
      <c r="H31" s="2">
        <v>2224.73</v>
      </c>
      <c r="I31" s="2">
        <v>0</v>
      </c>
      <c r="J31" s="2">
        <v>3365.5</v>
      </c>
      <c r="K31" s="2">
        <v>769.61</v>
      </c>
      <c r="L31" s="2">
        <v>81095.78</v>
      </c>
      <c r="M31" s="2"/>
      <c r="N31" s="2"/>
      <c r="O31" s="2"/>
      <c r="P31" s="2"/>
      <c r="Q31" s="2"/>
      <c r="R31" s="2">
        <v>620</v>
      </c>
      <c r="S31" s="2"/>
      <c r="T31" s="2">
        <v>20</v>
      </c>
      <c r="U31" s="2">
        <v>1141.55</v>
      </c>
      <c r="V31" s="2">
        <v>82857.33</v>
      </c>
      <c r="W31">
        <v>1.1087</v>
      </c>
      <c r="X31" s="3">
        <f t="shared" si="0"/>
        <v>219.2904714</v>
      </c>
      <c r="Y31" t="str">
        <f t="shared" si="1"/>
        <v>Marítimo</v>
      </c>
    </row>
    <row r="32" spans="1:25" ht="15.6" x14ac:dyDescent="0.3">
      <c r="A32" t="s">
        <v>63</v>
      </c>
      <c r="B32" t="s">
        <v>85</v>
      </c>
      <c r="C32" t="s">
        <v>132</v>
      </c>
      <c r="D32" t="s">
        <v>32</v>
      </c>
      <c r="E32" t="s">
        <v>128</v>
      </c>
      <c r="F32" t="s">
        <v>133</v>
      </c>
      <c r="G32" s="2">
        <v>5892.69</v>
      </c>
      <c r="H32" s="2">
        <v>235.46</v>
      </c>
      <c r="I32" s="2">
        <v>0</v>
      </c>
      <c r="J32" s="2">
        <v>58.27</v>
      </c>
      <c r="K32" s="2">
        <v>65.92</v>
      </c>
      <c r="L32" s="2">
        <v>6252.34</v>
      </c>
      <c r="M32" s="2"/>
      <c r="N32" s="2"/>
      <c r="O32" s="2"/>
      <c r="P32" s="2"/>
      <c r="Q32" s="2"/>
      <c r="R32" s="2">
        <v>469.91</v>
      </c>
      <c r="S32" s="2"/>
      <c r="T32" s="2">
        <v>20</v>
      </c>
      <c r="U32" s="2">
        <v>210.87</v>
      </c>
      <c r="V32" s="2">
        <v>6933.12</v>
      </c>
      <c r="W32">
        <v>1.1766000000000001</v>
      </c>
      <c r="X32" s="3">
        <f t="shared" si="0"/>
        <v>36.5</v>
      </c>
      <c r="Y32" t="str">
        <f t="shared" si="1"/>
        <v>Marítimo</v>
      </c>
    </row>
    <row r="33" spans="1:25" ht="15.6" x14ac:dyDescent="0.3">
      <c r="A33" t="s">
        <v>134</v>
      </c>
      <c r="B33" t="s">
        <v>135</v>
      </c>
      <c r="C33" t="s">
        <v>136</v>
      </c>
      <c r="D33" t="s">
        <v>32</v>
      </c>
      <c r="E33" t="s">
        <v>128</v>
      </c>
      <c r="F33" t="s">
        <v>137</v>
      </c>
      <c r="G33" s="2">
        <v>15182.64</v>
      </c>
      <c r="H33" s="2">
        <v>1716.66</v>
      </c>
      <c r="I33" s="2">
        <v>0</v>
      </c>
      <c r="J33" s="2">
        <v>2193.0500000000002</v>
      </c>
      <c r="K33" s="2">
        <v>36.049999999999997</v>
      </c>
      <c r="L33" s="2">
        <v>19128.400000000001</v>
      </c>
      <c r="M33" s="2"/>
      <c r="N33" s="2"/>
      <c r="O33" s="2"/>
      <c r="P33" s="2"/>
      <c r="Q33" s="2"/>
      <c r="R33" s="2">
        <v>970.25</v>
      </c>
      <c r="S33" s="2"/>
      <c r="T33" s="2">
        <v>20</v>
      </c>
      <c r="U33" s="2">
        <v>1008.55</v>
      </c>
      <c r="V33" s="2">
        <v>21107.200000000001</v>
      </c>
      <c r="W33">
        <v>1.3902000000000001</v>
      </c>
      <c r="X33" s="3">
        <f t="shared" si="0"/>
        <v>52.122115499999992</v>
      </c>
      <c r="Y33" t="str">
        <f t="shared" si="1"/>
        <v>Marítimo</v>
      </c>
    </row>
    <row r="34" spans="1:25" ht="15.6" x14ac:dyDescent="0.3">
      <c r="A34" t="s">
        <v>29</v>
      </c>
      <c r="B34" t="s">
        <v>45</v>
      </c>
      <c r="C34" t="s">
        <v>138</v>
      </c>
      <c r="D34" t="s">
        <v>32</v>
      </c>
      <c r="E34" t="s">
        <v>139</v>
      </c>
      <c r="F34" t="s">
        <v>140</v>
      </c>
      <c r="G34" s="2">
        <v>42521.19</v>
      </c>
      <c r="H34" s="2">
        <v>540</v>
      </c>
      <c r="I34" s="2">
        <v>0</v>
      </c>
      <c r="J34" s="2">
        <v>19.68</v>
      </c>
      <c r="K34" s="2">
        <v>63.45</v>
      </c>
      <c r="L34" s="2">
        <v>43144.32</v>
      </c>
      <c r="M34" s="2"/>
      <c r="N34" s="2"/>
      <c r="O34" s="2">
        <v>121.8</v>
      </c>
      <c r="P34" s="2"/>
      <c r="Q34" s="2"/>
      <c r="R34" s="2">
        <v>589.61</v>
      </c>
      <c r="S34" s="2"/>
      <c r="T34" s="2">
        <v>20.9</v>
      </c>
      <c r="U34" s="2">
        <v>256.85000000000002</v>
      </c>
      <c r="V34" s="2">
        <v>43990.78</v>
      </c>
      <c r="W34">
        <v>1.0346</v>
      </c>
      <c r="X34" s="3">
        <f t="shared" si="0"/>
        <v>117.6107751</v>
      </c>
      <c r="Y34" t="str">
        <f t="shared" si="1"/>
        <v>Marítimo</v>
      </c>
    </row>
    <row r="35" spans="1:25" ht="15.6" x14ac:dyDescent="0.3">
      <c r="A35" t="s">
        <v>29</v>
      </c>
      <c r="B35" t="s">
        <v>141</v>
      </c>
      <c r="C35" t="s">
        <v>142</v>
      </c>
      <c r="D35" t="s">
        <v>50</v>
      </c>
      <c r="E35" t="s">
        <v>139</v>
      </c>
      <c r="F35" t="s">
        <v>143</v>
      </c>
      <c r="G35" s="2">
        <v>40771.360000000001</v>
      </c>
      <c r="H35" s="2">
        <v>0</v>
      </c>
      <c r="I35" s="2">
        <v>0</v>
      </c>
      <c r="J35" s="2">
        <v>7250</v>
      </c>
      <c r="K35" s="2">
        <v>411.83</v>
      </c>
      <c r="L35" s="2">
        <v>48433.19</v>
      </c>
      <c r="M35" s="2"/>
      <c r="N35" s="2"/>
      <c r="O35" s="2">
        <v>1458.15</v>
      </c>
      <c r="P35" s="2">
        <v>845</v>
      </c>
      <c r="Q35" s="2"/>
      <c r="R35" s="2">
        <v>4493.1499999999996</v>
      </c>
      <c r="S35" s="2"/>
      <c r="T35" s="2">
        <v>20.9</v>
      </c>
      <c r="U35" s="2">
        <v>1808.07</v>
      </c>
      <c r="V35" s="2">
        <v>54734.41</v>
      </c>
      <c r="W35">
        <v>1.3425</v>
      </c>
      <c r="X35" s="3">
        <f t="shared" si="0"/>
        <v>131.0983128</v>
      </c>
      <c r="Y35" t="str">
        <f t="shared" si="1"/>
        <v>Marítimo</v>
      </c>
    </row>
    <row r="36" spans="1:25" ht="15.6" x14ac:dyDescent="0.3">
      <c r="A36" t="s">
        <v>63</v>
      </c>
      <c r="B36" t="s">
        <v>144</v>
      </c>
      <c r="C36" t="s">
        <v>145</v>
      </c>
      <c r="D36" t="s">
        <v>32</v>
      </c>
      <c r="E36" t="s">
        <v>139</v>
      </c>
      <c r="F36" t="s">
        <v>146</v>
      </c>
      <c r="G36" s="2">
        <v>1581</v>
      </c>
      <c r="H36" s="2">
        <v>30</v>
      </c>
      <c r="I36" s="2">
        <v>0</v>
      </c>
      <c r="J36" s="2">
        <v>118.55</v>
      </c>
      <c r="K36" s="2">
        <v>44.3</v>
      </c>
      <c r="L36" s="2">
        <v>1773.85</v>
      </c>
      <c r="M36" s="2"/>
      <c r="N36" s="2"/>
      <c r="O36" s="2"/>
      <c r="P36" s="2">
        <v>35</v>
      </c>
      <c r="Q36" s="2"/>
      <c r="R36" s="2">
        <v>306.27</v>
      </c>
      <c r="S36" s="2"/>
      <c r="T36" s="2">
        <v>20</v>
      </c>
      <c r="U36" s="2">
        <v>210</v>
      </c>
      <c r="V36" s="2">
        <v>2290.12</v>
      </c>
      <c r="W36">
        <v>1.4484999999999999</v>
      </c>
      <c r="X36" s="3">
        <f t="shared" si="0"/>
        <v>36.5</v>
      </c>
      <c r="Y36" t="str">
        <f t="shared" si="1"/>
        <v>Aéreo</v>
      </c>
    </row>
    <row r="37" spans="1:25" ht="15.6" x14ac:dyDescent="0.3">
      <c r="A37" t="s">
        <v>29</v>
      </c>
      <c r="B37" t="s">
        <v>45</v>
      </c>
      <c r="C37" t="s">
        <v>147</v>
      </c>
      <c r="D37" t="s">
        <v>32</v>
      </c>
      <c r="E37" t="s">
        <v>148</v>
      </c>
      <c r="F37" t="s">
        <v>149</v>
      </c>
      <c r="G37" s="2">
        <v>15887.7</v>
      </c>
      <c r="H37" s="2">
        <v>608</v>
      </c>
      <c r="I37" s="2">
        <v>0</v>
      </c>
      <c r="J37" s="2">
        <v>1063.53</v>
      </c>
      <c r="K37" s="2">
        <v>169.69</v>
      </c>
      <c r="L37" s="2">
        <v>17728.919999999998</v>
      </c>
      <c r="M37" s="2"/>
      <c r="N37" s="2"/>
      <c r="O37" s="2"/>
      <c r="P37" s="2">
        <v>110</v>
      </c>
      <c r="Q37" s="2"/>
      <c r="R37" s="2">
        <v>591.45000000000005</v>
      </c>
      <c r="S37" s="2"/>
      <c r="T37" s="2">
        <v>20.9</v>
      </c>
      <c r="U37" s="2">
        <v>225.43</v>
      </c>
      <c r="V37" s="2">
        <v>18545.8</v>
      </c>
      <c r="W37">
        <v>1.1673</v>
      </c>
      <c r="X37" s="3">
        <f t="shared" si="0"/>
        <v>47.936697899999999</v>
      </c>
      <c r="Y37" t="str">
        <f t="shared" si="1"/>
        <v>Aéreo</v>
      </c>
    </row>
    <row r="38" spans="1:25" ht="15.6" x14ac:dyDescent="0.3">
      <c r="A38" t="s">
        <v>29</v>
      </c>
      <c r="B38" t="s">
        <v>150</v>
      </c>
      <c r="C38" t="s">
        <v>151</v>
      </c>
      <c r="D38" t="s">
        <v>32</v>
      </c>
      <c r="E38" t="s">
        <v>152</v>
      </c>
      <c r="F38" t="s">
        <v>153</v>
      </c>
      <c r="G38" s="2">
        <v>22867.81</v>
      </c>
      <c r="H38" s="2">
        <v>998.4</v>
      </c>
      <c r="I38" s="2">
        <v>0</v>
      </c>
      <c r="J38" s="2">
        <v>1600</v>
      </c>
      <c r="K38" s="2">
        <v>37.869999999999997</v>
      </c>
      <c r="L38" s="2">
        <v>25504.080000000002</v>
      </c>
      <c r="M38" s="2"/>
      <c r="N38" s="2"/>
      <c r="O38" s="2"/>
      <c r="P38" s="2"/>
      <c r="Q38" s="2"/>
      <c r="R38" s="2">
        <v>811.25</v>
      </c>
      <c r="S38" s="2"/>
      <c r="T38" s="2">
        <v>20.9</v>
      </c>
      <c r="U38" s="2">
        <v>954.23</v>
      </c>
      <c r="V38" s="2">
        <v>27269.57</v>
      </c>
      <c r="W38">
        <v>1.1924999999999999</v>
      </c>
      <c r="X38" s="3">
        <f t="shared" si="0"/>
        <v>69.522753300000005</v>
      </c>
      <c r="Y38" t="str">
        <f t="shared" si="1"/>
        <v>Marítimo</v>
      </c>
    </row>
    <row r="39" spans="1:25" ht="15.6" x14ac:dyDescent="0.3">
      <c r="A39" t="s">
        <v>29</v>
      </c>
      <c r="B39" t="s">
        <v>154</v>
      </c>
      <c r="C39" t="s">
        <v>155</v>
      </c>
      <c r="D39" t="s">
        <v>37</v>
      </c>
      <c r="E39" t="s">
        <v>152</v>
      </c>
      <c r="F39" t="s">
        <v>156</v>
      </c>
      <c r="G39" s="2">
        <v>9649.4</v>
      </c>
      <c r="H39" s="2">
        <v>0</v>
      </c>
      <c r="I39" s="2">
        <v>0</v>
      </c>
      <c r="J39" s="2">
        <v>185</v>
      </c>
      <c r="K39" s="2">
        <v>168.87</v>
      </c>
      <c r="L39" s="2">
        <v>10003.26</v>
      </c>
      <c r="M39" s="2"/>
      <c r="N39" s="2"/>
      <c r="O39" s="2"/>
      <c r="P39" s="2"/>
      <c r="Q39" s="2"/>
      <c r="R39" s="2">
        <v>530.20000000000005</v>
      </c>
      <c r="S39" s="2"/>
      <c r="T39" s="2"/>
      <c r="U39" s="2">
        <v>147.83000000000001</v>
      </c>
      <c r="V39" s="2">
        <v>10681.29</v>
      </c>
      <c r="W39">
        <v>1.1069</v>
      </c>
      <c r="X39" s="3">
        <f t="shared" si="0"/>
        <v>36.5</v>
      </c>
      <c r="Y39" t="str">
        <f t="shared" si="1"/>
        <v>Aéreo</v>
      </c>
    </row>
    <row r="40" spans="1:25" ht="15.6" x14ac:dyDescent="0.3">
      <c r="A40" t="s">
        <v>134</v>
      </c>
      <c r="B40" t="s">
        <v>157</v>
      </c>
      <c r="C40" t="s">
        <v>158</v>
      </c>
      <c r="D40" t="s">
        <v>32</v>
      </c>
      <c r="E40" t="s">
        <v>159</v>
      </c>
      <c r="F40" t="s">
        <v>160</v>
      </c>
      <c r="G40" s="2">
        <v>25200</v>
      </c>
      <c r="H40" s="2">
        <v>0</v>
      </c>
      <c r="I40" s="2">
        <v>0</v>
      </c>
      <c r="J40" s="2">
        <v>1450</v>
      </c>
      <c r="K40" s="2">
        <v>252</v>
      </c>
      <c r="L40" s="2">
        <v>26902</v>
      </c>
      <c r="M40" s="2"/>
      <c r="N40" s="2"/>
      <c r="O40" s="2">
        <v>461.2</v>
      </c>
      <c r="P40" s="2">
        <v>130</v>
      </c>
      <c r="Q40" s="2"/>
      <c r="R40" s="2">
        <v>700</v>
      </c>
      <c r="S40" s="2"/>
      <c r="T40" s="2">
        <v>20</v>
      </c>
      <c r="U40" s="2">
        <v>1469.75</v>
      </c>
      <c r="V40" s="2">
        <v>29071.75</v>
      </c>
      <c r="W40">
        <v>1.1536</v>
      </c>
      <c r="X40" s="3">
        <f t="shared" si="0"/>
        <v>72.754499999999993</v>
      </c>
      <c r="Y40" t="str">
        <f t="shared" si="1"/>
        <v>Marítimo</v>
      </c>
    </row>
    <row r="41" spans="1:25" ht="15.6" x14ac:dyDescent="0.3">
      <c r="A41" t="s">
        <v>63</v>
      </c>
      <c r="B41" t="s">
        <v>161</v>
      </c>
      <c r="C41" t="s">
        <v>162</v>
      </c>
      <c r="D41" t="s">
        <v>32</v>
      </c>
      <c r="E41" t="s">
        <v>163</v>
      </c>
      <c r="F41" t="s">
        <v>164</v>
      </c>
      <c r="G41" s="2">
        <v>8746.65</v>
      </c>
      <c r="H41" s="2">
        <v>210</v>
      </c>
      <c r="I41" s="2">
        <v>0</v>
      </c>
      <c r="J41" s="2">
        <v>1127.18</v>
      </c>
      <c r="K41" s="2">
        <v>36.049999999999997</v>
      </c>
      <c r="L41" s="2">
        <v>10119.879999999999</v>
      </c>
      <c r="M41" s="2"/>
      <c r="N41" s="2"/>
      <c r="O41" s="2"/>
      <c r="P41" s="2"/>
      <c r="Q41" s="2"/>
      <c r="R41" s="2">
        <v>722.57</v>
      </c>
      <c r="S41" s="2"/>
      <c r="T41" s="2">
        <v>20</v>
      </c>
      <c r="U41" s="2">
        <v>224.78</v>
      </c>
      <c r="V41" s="2">
        <v>11067.23</v>
      </c>
      <c r="W41">
        <v>1.2653000000000001</v>
      </c>
      <c r="X41" s="3">
        <f t="shared" si="0"/>
        <v>36.5</v>
      </c>
      <c r="Y41" t="str">
        <f t="shared" si="1"/>
        <v>Aéreo</v>
      </c>
    </row>
    <row r="42" spans="1:25" ht="15.6" x14ac:dyDescent="0.3">
      <c r="A42" t="s">
        <v>134</v>
      </c>
      <c r="B42" t="s">
        <v>165</v>
      </c>
      <c r="C42" t="s">
        <v>166</v>
      </c>
      <c r="D42" t="s">
        <v>32</v>
      </c>
      <c r="E42" t="s">
        <v>163</v>
      </c>
      <c r="F42" t="s">
        <v>167</v>
      </c>
      <c r="G42" s="2">
        <v>11931.2</v>
      </c>
      <c r="H42" s="2">
        <v>401.54</v>
      </c>
      <c r="I42" s="2">
        <v>0</v>
      </c>
      <c r="J42" s="2">
        <v>190.08</v>
      </c>
      <c r="K42" s="2">
        <v>36.049999999999997</v>
      </c>
      <c r="L42" s="2">
        <v>12558.88</v>
      </c>
      <c r="M42" s="2"/>
      <c r="N42" s="2"/>
      <c r="O42" s="2"/>
      <c r="P42" s="2"/>
      <c r="Q42" s="2"/>
      <c r="R42" s="2">
        <v>379.86</v>
      </c>
      <c r="S42" s="2"/>
      <c r="T42" s="2">
        <v>20</v>
      </c>
      <c r="U42" s="2">
        <v>254.93</v>
      </c>
      <c r="V42" s="2">
        <v>13193.66</v>
      </c>
      <c r="W42">
        <v>1.1057999999999999</v>
      </c>
      <c r="X42" s="3">
        <f t="shared" si="0"/>
        <v>36.5</v>
      </c>
      <c r="Y42" t="str">
        <f t="shared" si="1"/>
        <v>Marítimo</v>
      </c>
    </row>
    <row r="43" spans="1:25" ht="15.6" x14ac:dyDescent="0.3">
      <c r="A43" t="s">
        <v>63</v>
      </c>
      <c r="B43" t="s">
        <v>168</v>
      </c>
      <c r="C43" t="s">
        <v>169</v>
      </c>
      <c r="D43" t="s">
        <v>32</v>
      </c>
      <c r="E43" t="s">
        <v>170</v>
      </c>
      <c r="F43" t="s">
        <v>171</v>
      </c>
      <c r="G43" s="2">
        <v>1921.89</v>
      </c>
      <c r="H43" s="2">
        <v>166.32</v>
      </c>
      <c r="I43" s="2">
        <v>0</v>
      </c>
      <c r="J43" s="2">
        <v>83.16</v>
      </c>
      <c r="K43" s="2">
        <v>23.65</v>
      </c>
      <c r="L43" s="2">
        <v>2195.02</v>
      </c>
      <c r="M43" s="2"/>
      <c r="N43" s="2"/>
      <c r="O43" s="2"/>
      <c r="P43" s="2">
        <v>45</v>
      </c>
      <c r="Q43" s="2"/>
      <c r="R43" s="2">
        <v>264.04000000000002</v>
      </c>
      <c r="S43" s="2"/>
      <c r="T43" s="2">
        <v>20</v>
      </c>
      <c r="U43" s="2">
        <v>183.04</v>
      </c>
      <c r="V43" s="2">
        <v>2642.1</v>
      </c>
      <c r="W43">
        <v>1.3747</v>
      </c>
      <c r="X43" s="3">
        <f t="shared" si="0"/>
        <v>36.5</v>
      </c>
      <c r="Y43" t="str">
        <f t="shared" si="1"/>
        <v>Aéreo</v>
      </c>
    </row>
    <row r="44" spans="1:25" ht="15.6" x14ac:dyDescent="0.3">
      <c r="A44" t="s">
        <v>63</v>
      </c>
      <c r="B44" t="s">
        <v>141</v>
      </c>
      <c r="C44" t="s">
        <v>172</v>
      </c>
      <c r="D44" t="s">
        <v>50</v>
      </c>
      <c r="E44" t="s">
        <v>173</v>
      </c>
      <c r="F44" t="s">
        <v>174</v>
      </c>
      <c r="G44" s="2">
        <v>14478.66</v>
      </c>
      <c r="H44" s="2">
        <v>0</v>
      </c>
      <c r="I44" s="2">
        <v>0</v>
      </c>
      <c r="J44" s="2">
        <v>1600</v>
      </c>
      <c r="K44" s="2">
        <v>146.25</v>
      </c>
      <c r="L44" s="2">
        <v>16224.91</v>
      </c>
      <c r="M44" s="2"/>
      <c r="N44" s="2"/>
      <c r="O44" s="2"/>
      <c r="P44" s="2">
        <v>169</v>
      </c>
      <c r="Q44" s="2"/>
      <c r="R44" s="2">
        <v>1255.83</v>
      </c>
      <c r="S44" s="2"/>
      <c r="T44" s="2">
        <v>20</v>
      </c>
      <c r="U44" s="2">
        <v>399.86</v>
      </c>
      <c r="V44" s="2">
        <v>17880.59</v>
      </c>
      <c r="W44">
        <v>1.2350000000000001</v>
      </c>
      <c r="X44" s="3">
        <f t="shared" si="0"/>
        <v>43.894741799999998</v>
      </c>
      <c r="Y44" t="str">
        <f t="shared" si="1"/>
        <v>Marítimo</v>
      </c>
    </row>
    <row r="45" spans="1:25" ht="15.6" x14ac:dyDescent="0.3">
      <c r="A45" t="s">
        <v>63</v>
      </c>
      <c r="B45" t="s">
        <v>175</v>
      </c>
      <c r="C45" t="s">
        <v>176</v>
      </c>
      <c r="D45" t="s">
        <v>32</v>
      </c>
      <c r="E45" t="s">
        <v>177</v>
      </c>
      <c r="F45" t="s">
        <v>178</v>
      </c>
      <c r="G45" s="2">
        <v>3168.1</v>
      </c>
      <c r="H45" s="2">
        <v>190.08</v>
      </c>
      <c r="I45" s="2">
        <v>0</v>
      </c>
      <c r="J45" s="2">
        <v>151.11000000000001</v>
      </c>
      <c r="K45" s="2">
        <v>58.77</v>
      </c>
      <c r="L45" s="2">
        <v>3568.06</v>
      </c>
      <c r="M45" s="2"/>
      <c r="N45" s="2"/>
      <c r="O45" s="2"/>
      <c r="P45" s="2"/>
      <c r="Q45" s="2"/>
      <c r="R45" s="2">
        <v>376.27</v>
      </c>
      <c r="S45" s="2"/>
      <c r="T45" s="2">
        <v>20</v>
      </c>
      <c r="U45" s="2">
        <v>183.04</v>
      </c>
      <c r="V45" s="2">
        <v>4127.37</v>
      </c>
      <c r="W45">
        <v>1.3028</v>
      </c>
      <c r="X45" s="3">
        <f t="shared" si="0"/>
        <v>36.5</v>
      </c>
      <c r="Y45" t="str">
        <f t="shared" si="1"/>
        <v>Aéreo</v>
      </c>
    </row>
    <row r="46" spans="1:25" ht="15.6" x14ac:dyDescent="0.3">
      <c r="A46" t="s">
        <v>29</v>
      </c>
      <c r="B46" t="s">
        <v>30</v>
      </c>
      <c r="C46" t="s">
        <v>179</v>
      </c>
      <c r="D46" t="s">
        <v>32</v>
      </c>
      <c r="E46" t="s">
        <v>180</v>
      </c>
      <c r="F46" t="s">
        <v>181</v>
      </c>
      <c r="G46" s="2">
        <v>92031</v>
      </c>
      <c r="H46" s="2">
        <v>2500</v>
      </c>
      <c r="I46" s="2">
        <v>0</v>
      </c>
      <c r="J46" s="2">
        <v>1500</v>
      </c>
      <c r="K46" s="2">
        <v>945.31</v>
      </c>
      <c r="L46" s="2">
        <v>96976.31</v>
      </c>
      <c r="M46" s="2"/>
      <c r="N46" s="2"/>
      <c r="O46" s="2"/>
      <c r="P46" s="2"/>
      <c r="Q46" s="2"/>
      <c r="R46" s="2">
        <v>2000</v>
      </c>
      <c r="S46" s="2"/>
      <c r="T46" s="2">
        <v>80.900000000000006</v>
      </c>
      <c r="U46" s="2">
        <v>363.34</v>
      </c>
      <c r="V46" s="2">
        <v>99339.65</v>
      </c>
      <c r="W46">
        <v>1.0793999999999999</v>
      </c>
      <c r="X46" s="3">
        <f t="shared" si="0"/>
        <v>262.16462999999999</v>
      </c>
      <c r="Y46" t="str">
        <f t="shared" si="1"/>
        <v>Terrestre</v>
      </c>
    </row>
    <row r="47" spans="1:25" ht="15.6" x14ac:dyDescent="0.3">
      <c r="A47" t="s">
        <v>63</v>
      </c>
      <c r="B47" t="s">
        <v>85</v>
      </c>
      <c r="C47" t="s">
        <v>182</v>
      </c>
      <c r="D47" t="s">
        <v>32</v>
      </c>
      <c r="E47" t="s">
        <v>183</v>
      </c>
      <c r="F47" t="s">
        <v>184</v>
      </c>
      <c r="G47" s="2">
        <v>70219.77</v>
      </c>
      <c r="H47" s="2">
        <v>0</v>
      </c>
      <c r="I47" s="2">
        <v>0</v>
      </c>
      <c r="J47" s="2">
        <v>2803.68</v>
      </c>
      <c r="K47" s="2">
        <v>106.38</v>
      </c>
      <c r="L47" s="2">
        <v>73129.83</v>
      </c>
      <c r="M47" s="2"/>
      <c r="N47" s="2"/>
      <c r="O47" s="2"/>
      <c r="P47" s="2"/>
      <c r="Q47" s="2"/>
      <c r="R47" s="2">
        <v>1042.95</v>
      </c>
      <c r="S47" s="2"/>
      <c r="T47" s="2">
        <v>20</v>
      </c>
      <c r="U47" s="2">
        <v>492.68</v>
      </c>
      <c r="V47" s="2">
        <v>74665.45</v>
      </c>
      <c r="W47">
        <v>1.0632999999999999</v>
      </c>
      <c r="X47" s="3">
        <f t="shared" si="0"/>
        <v>199.3540185</v>
      </c>
      <c r="Y47" t="str">
        <f t="shared" si="1"/>
        <v>Marítimo</v>
      </c>
    </row>
    <row r="48" spans="1:25" ht="15.6" x14ac:dyDescent="0.3">
      <c r="A48" t="s">
        <v>29</v>
      </c>
      <c r="B48" t="s">
        <v>185</v>
      </c>
      <c r="C48" t="s">
        <v>186</v>
      </c>
      <c r="D48" t="s">
        <v>32</v>
      </c>
      <c r="E48" t="s">
        <v>187</v>
      </c>
      <c r="F48" t="s">
        <v>188</v>
      </c>
      <c r="G48" s="2">
        <v>23763.87</v>
      </c>
      <c r="H48" s="2">
        <v>1134.54</v>
      </c>
      <c r="I48" s="2">
        <v>0</v>
      </c>
      <c r="J48" s="2">
        <v>3134.85</v>
      </c>
      <c r="K48" s="2">
        <v>40.840000000000003</v>
      </c>
      <c r="L48" s="2">
        <v>28074.1</v>
      </c>
      <c r="M48" s="2"/>
      <c r="N48" s="2"/>
      <c r="O48" s="2"/>
      <c r="P48" s="2">
        <v>212.81</v>
      </c>
      <c r="Q48" s="2"/>
      <c r="R48" s="2">
        <v>1000.22</v>
      </c>
      <c r="S48" s="2"/>
      <c r="T48" s="2">
        <v>40.9</v>
      </c>
      <c r="U48" s="2">
        <v>249.17</v>
      </c>
      <c r="V48" s="2">
        <v>29323.49</v>
      </c>
      <c r="W48">
        <v>1.234</v>
      </c>
      <c r="X48" s="3">
        <f t="shared" si="0"/>
        <v>76.530799799999997</v>
      </c>
      <c r="Y48" t="str">
        <f t="shared" si="1"/>
        <v>Aéreo</v>
      </c>
    </row>
    <row r="49" spans="1:25" ht="15.6" x14ac:dyDescent="0.3">
      <c r="A49" t="s">
        <v>29</v>
      </c>
      <c r="B49" t="s">
        <v>45</v>
      </c>
      <c r="C49" t="s">
        <v>189</v>
      </c>
      <c r="D49" t="s">
        <v>32</v>
      </c>
      <c r="E49" t="s">
        <v>190</v>
      </c>
      <c r="F49" t="s">
        <v>191</v>
      </c>
      <c r="G49" s="2">
        <v>5104.25</v>
      </c>
      <c r="H49" s="2">
        <v>359.8</v>
      </c>
      <c r="I49" s="2">
        <v>0</v>
      </c>
      <c r="J49" s="2">
        <v>142.88999999999999</v>
      </c>
      <c r="K49" s="2">
        <v>36.049999999999997</v>
      </c>
      <c r="L49" s="2">
        <v>5642.99</v>
      </c>
      <c r="M49" s="2"/>
      <c r="N49" s="2"/>
      <c r="O49" s="2"/>
      <c r="P49" s="2">
        <v>75</v>
      </c>
      <c r="Q49" s="2"/>
      <c r="R49" s="2">
        <v>368.15</v>
      </c>
      <c r="S49" s="2"/>
      <c r="T49" s="2">
        <v>20.9</v>
      </c>
      <c r="U49" s="2">
        <v>195.57</v>
      </c>
      <c r="V49" s="2">
        <v>6206.71</v>
      </c>
      <c r="W49">
        <v>1.216</v>
      </c>
      <c r="X49" s="3">
        <f t="shared" si="0"/>
        <v>36.5</v>
      </c>
      <c r="Y49" t="str">
        <f t="shared" si="1"/>
        <v>Aéreo</v>
      </c>
    </row>
    <row r="50" spans="1:25" ht="15.6" x14ac:dyDescent="0.3">
      <c r="A50" t="s">
        <v>29</v>
      </c>
      <c r="B50" t="s">
        <v>60</v>
      </c>
      <c r="C50" t="s">
        <v>192</v>
      </c>
      <c r="D50" t="s">
        <v>32</v>
      </c>
      <c r="E50" t="s">
        <v>193</v>
      </c>
      <c r="F50" t="s">
        <v>194</v>
      </c>
      <c r="G50" s="2">
        <v>34533.31</v>
      </c>
      <c r="H50" s="2">
        <v>526.69000000000005</v>
      </c>
      <c r="I50" s="2">
        <v>0</v>
      </c>
      <c r="J50" s="2">
        <v>316.75</v>
      </c>
      <c r="K50" s="2">
        <v>51.68</v>
      </c>
      <c r="L50" s="2">
        <v>35428.43</v>
      </c>
      <c r="M50" s="2"/>
      <c r="N50" s="2"/>
      <c r="O50" s="2"/>
      <c r="P50" s="2"/>
      <c r="Q50" s="2"/>
      <c r="R50" s="2">
        <v>553.41</v>
      </c>
      <c r="S50" s="2"/>
      <c r="T50" s="2">
        <v>20.9</v>
      </c>
      <c r="U50" s="2">
        <v>295.52999999999997</v>
      </c>
      <c r="V50" s="2">
        <v>36277.370000000003</v>
      </c>
      <c r="W50">
        <v>1.0505</v>
      </c>
      <c r="X50" s="3">
        <f t="shared" si="0"/>
        <v>96.578527499999993</v>
      </c>
      <c r="Y50" t="str">
        <f t="shared" si="1"/>
        <v>Marítimo</v>
      </c>
    </row>
    <row r="51" spans="1:25" ht="15.6" x14ac:dyDescent="0.3">
      <c r="A51" t="s">
        <v>29</v>
      </c>
      <c r="B51" t="s">
        <v>154</v>
      </c>
      <c r="C51" t="s">
        <v>195</v>
      </c>
      <c r="D51" t="s">
        <v>50</v>
      </c>
      <c r="E51" t="s">
        <v>196</v>
      </c>
      <c r="F51" t="s">
        <v>197</v>
      </c>
      <c r="G51" s="2">
        <v>11044.84</v>
      </c>
      <c r="H51" s="2">
        <v>0</v>
      </c>
      <c r="I51" s="2">
        <v>0</v>
      </c>
      <c r="J51" s="2">
        <v>140</v>
      </c>
      <c r="K51" s="2">
        <v>193.28</v>
      </c>
      <c r="L51" s="2">
        <v>11378.13</v>
      </c>
      <c r="M51" s="2"/>
      <c r="N51" s="2"/>
      <c r="O51" s="2"/>
      <c r="P51" s="2"/>
      <c r="Q51" s="2"/>
      <c r="R51" s="2">
        <v>126.27</v>
      </c>
      <c r="S51" s="2"/>
      <c r="T51" s="2"/>
      <c r="U51" s="2">
        <v>510</v>
      </c>
      <c r="V51" s="2">
        <v>12014.4</v>
      </c>
      <c r="W51">
        <v>1.0878000000000001</v>
      </c>
      <c r="X51" s="3">
        <f t="shared" si="0"/>
        <v>36.5</v>
      </c>
      <c r="Y51" t="str">
        <f t="shared" si="1"/>
        <v>Aéreo</v>
      </c>
    </row>
    <row r="52" spans="1:25" ht="15.6" x14ac:dyDescent="0.3">
      <c r="A52" t="s">
        <v>29</v>
      </c>
      <c r="B52" t="s">
        <v>80</v>
      </c>
      <c r="C52" t="s">
        <v>198</v>
      </c>
      <c r="D52" t="s">
        <v>50</v>
      </c>
      <c r="E52" t="s">
        <v>199</v>
      </c>
      <c r="F52" t="s">
        <v>200</v>
      </c>
      <c r="G52" s="2">
        <v>43690</v>
      </c>
      <c r="H52" s="2">
        <v>1088.7</v>
      </c>
      <c r="I52" s="2">
        <v>0</v>
      </c>
      <c r="J52" s="2">
        <v>1206</v>
      </c>
      <c r="K52" s="2">
        <v>150.32</v>
      </c>
      <c r="L52" s="2">
        <v>46135.02</v>
      </c>
      <c r="M52" s="2"/>
      <c r="N52" s="2"/>
      <c r="O52" s="2">
        <v>210</v>
      </c>
      <c r="P52" s="2"/>
      <c r="Q52" s="2"/>
      <c r="R52" s="2">
        <v>600.04999999999995</v>
      </c>
      <c r="S52" s="2"/>
      <c r="T52" s="2">
        <v>40.9</v>
      </c>
      <c r="U52" s="2">
        <v>837.4</v>
      </c>
      <c r="V52" s="2">
        <v>47572.47</v>
      </c>
      <c r="W52">
        <v>1.0889</v>
      </c>
      <c r="X52" s="3">
        <f t="shared" si="0"/>
        <v>125.53823099999998</v>
      </c>
      <c r="Y52" t="str">
        <f t="shared" si="1"/>
        <v>Marítimo</v>
      </c>
    </row>
    <row r="53" spans="1:25" ht="15.6" x14ac:dyDescent="0.3">
      <c r="A53" t="s">
        <v>134</v>
      </c>
      <c r="B53" t="s">
        <v>201</v>
      </c>
      <c r="C53" t="s">
        <v>202</v>
      </c>
      <c r="D53" t="s">
        <v>32</v>
      </c>
      <c r="E53" t="s">
        <v>203</v>
      </c>
      <c r="F53" t="s">
        <v>204</v>
      </c>
      <c r="G53" s="2">
        <v>4184.08</v>
      </c>
      <c r="H53" s="2">
        <v>0</v>
      </c>
      <c r="I53" s="2">
        <v>0</v>
      </c>
      <c r="J53" s="2">
        <v>156.15</v>
      </c>
      <c r="K53" s="2">
        <v>75.180000000000007</v>
      </c>
      <c r="L53" s="2">
        <v>4415.41</v>
      </c>
      <c r="M53" s="2"/>
      <c r="N53" s="2"/>
      <c r="O53" s="2"/>
      <c r="P53" s="2"/>
      <c r="Q53" s="2"/>
      <c r="R53" s="2">
        <v>162.07</v>
      </c>
      <c r="S53" s="2"/>
      <c r="T53" s="2"/>
      <c r="U53" s="2"/>
      <c r="V53" s="2">
        <v>4577.4799999999996</v>
      </c>
      <c r="W53">
        <v>1.0940000000000001</v>
      </c>
      <c r="X53" s="3">
        <f t="shared" si="0"/>
        <v>36.5</v>
      </c>
      <c r="Y53" t="str">
        <f t="shared" si="1"/>
        <v>Aéreo</v>
      </c>
    </row>
    <row r="54" spans="1:25" ht="15.6" x14ac:dyDescent="0.3">
      <c r="A54" t="s">
        <v>29</v>
      </c>
      <c r="B54" t="s">
        <v>45</v>
      </c>
      <c r="C54" t="s">
        <v>205</v>
      </c>
      <c r="D54" t="s">
        <v>37</v>
      </c>
      <c r="E54" t="s">
        <v>206</v>
      </c>
      <c r="F54" t="s">
        <v>207</v>
      </c>
      <c r="G54" s="2">
        <v>9000</v>
      </c>
      <c r="H54" s="2">
        <v>0</v>
      </c>
      <c r="I54" s="2">
        <v>0</v>
      </c>
      <c r="J54" s="2">
        <v>2130</v>
      </c>
      <c r="K54" s="2">
        <v>36.049999999999997</v>
      </c>
      <c r="L54" s="2">
        <v>11166.05</v>
      </c>
      <c r="M54" s="2"/>
      <c r="N54" s="2"/>
      <c r="O54" s="2"/>
      <c r="P54" s="2"/>
      <c r="Q54" s="2"/>
      <c r="R54" s="2">
        <v>347.87</v>
      </c>
      <c r="S54" s="2"/>
      <c r="T54" s="2"/>
      <c r="U54" s="2">
        <v>225.43</v>
      </c>
      <c r="V54" s="2">
        <v>11739.35</v>
      </c>
      <c r="W54">
        <v>1.3044</v>
      </c>
      <c r="X54" s="3">
        <f t="shared" si="0"/>
        <v>36.5</v>
      </c>
      <c r="Y54" t="str">
        <f t="shared" si="1"/>
        <v>Aéreo</v>
      </c>
    </row>
    <row r="55" spans="1:25" ht="15.6" x14ac:dyDescent="0.3">
      <c r="A55" t="s">
        <v>29</v>
      </c>
      <c r="B55" t="s">
        <v>45</v>
      </c>
      <c r="C55" t="s">
        <v>208</v>
      </c>
      <c r="D55" t="s">
        <v>32</v>
      </c>
      <c r="E55" t="s">
        <v>209</v>
      </c>
      <c r="F55" t="s">
        <v>210</v>
      </c>
      <c r="G55" s="2">
        <v>4706.6000000000004</v>
      </c>
      <c r="H55" s="2">
        <v>80</v>
      </c>
      <c r="I55" s="2">
        <v>0</v>
      </c>
      <c r="J55" s="2">
        <v>196</v>
      </c>
      <c r="K55" s="2">
        <v>47.87</v>
      </c>
      <c r="L55" s="2">
        <v>5030.47</v>
      </c>
      <c r="M55" s="2"/>
      <c r="N55" s="2"/>
      <c r="O55" s="2">
        <v>217</v>
      </c>
      <c r="P55" s="2">
        <v>217</v>
      </c>
      <c r="Q55" s="2"/>
      <c r="R55" s="2">
        <v>654.66999999999996</v>
      </c>
      <c r="S55" s="2"/>
      <c r="T55" s="2"/>
      <c r="U55" s="2">
        <v>229.17</v>
      </c>
      <c r="V55" s="2">
        <v>5914.31</v>
      </c>
      <c r="W55">
        <v>1.2565999999999999</v>
      </c>
      <c r="X55" s="3">
        <f t="shared" si="0"/>
        <v>36.5</v>
      </c>
      <c r="Y55" t="str">
        <f t="shared" si="1"/>
        <v>Marítimo</v>
      </c>
    </row>
    <row r="56" spans="1:25" ht="15.6" x14ac:dyDescent="0.3">
      <c r="A56" t="s">
        <v>29</v>
      </c>
      <c r="B56" t="s">
        <v>211</v>
      </c>
      <c r="C56" t="s">
        <v>212</v>
      </c>
      <c r="D56" t="s">
        <v>32</v>
      </c>
      <c r="E56" t="s">
        <v>213</v>
      </c>
      <c r="F56" t="s">
        <v>214</v>
      </c>
      <c r="G56" s="2">
        <v>4706.6000000000004</v>
      </c>
      <c r="H56" s="2">
        <v>450</v>
      </c>
      <c r="I56" s="2">
        <v>0</v>
      </c>
      <c r="J56" s="2">
        <v>234.69</v>
      </c>
      <c r="K56" s="2">
        <v>54.57</v>
      </c>
      <c r="L56" s="2">
        <v>5445.86</v>
      </c>
      <c r="M56" s="2"/>
      <c r="N56" s="2"/>
      <c r="O56" s="2"/>
      <c r="P56" s="2"/>
      <c r="Q56" s="2"/>
      <c r="R56" s="2">
        <v>559.41</v>
      </c>
      <c r="S56" s="2"/>
      <c r="T56" s="2"/>
      <c r="U56" s="2">
        <v>337.87</v>
      </c>
      <c r="V56" s="2">
        <v>6343.14</v>
      </c>
      <c r="W56">
        <v>1.3476999999999999</v>
      </c>
      <c r="X56" s="3">
        <f t="shared" si="0"/>
        <v>36.5</v>
      </c>
      <c r="Y56" t="str">
        <f t="shared" si="1"/>
        <v>Marítimo</v>
      </c>
    </row>
    <row r="57" spans="1:25" ht="15.6" x14ac:dyDescent="0.3">
      <c r="A57" t="s">
        <v>29</v>
      </c>
      <c r="B57" t="s">
        <v>150</v>
      </c>
      <c r="C57" t="s">
        <v>151</v>
      </c>
      <c r="D57" t="s">
        <v>32</v>
      </c>
      <c r="E57" t="s">
        <v>215</v>
      </c>
      <c r="F57" t="s">
        <v>216</v>
      </c>
      <c r="G57" s="2">
        <v>3085.02</v>
      </c>
      <c r="H57" s="2">
        <v>187.5</v>
      </c>
      <c r="I57" s="2">
        <v>0</v>
      </c>
      <c r="J57" s="2">
        <v>151.88</v>
      </c>
      <c r="K57" s="2">
        <v>36.049999999999997</v>
      </c>
      <c r="L57" s="2">
        <v>3460.45</v>
      </c>
      <c r="M57" s="2"/>
      <c r="N57" s="2"/>
      <c r="O57" s="2">
        <v>130</v>
      </c>
      <c r="P57" s="2">
        <v>130</v>
      </c>
      <c r="Q57" s="2"/>
      <c r="R57" s="2">
        <v>498.34</v>
      </c>
      <c r="S57" s="2"/>
      <c r="T57" s="2"/>
      <c r="U57" s="2">
        <v>240.39</v>
      </c>
      <c r="V57" s="2">
        <v>4199.18</v>
      </c>
      <c r="W57">
        <v>1.3612</v>
      </c>
      <c r="X57" s="3">
        <f t="shared" si="0"/>
        <v>36.5</v>
      </c>
      <c r="Y57" t="str">
        <f t="shared" si="1"/>
        <v>Marítimo</v>
      </c>
    </row>
    <row r="58" spans="1:25" ht="15.6" x14ac:dyDescent="0.3">
      <c r="A58" t="s">
        <v>63</v>
      </c>
      <c r="B58" t="s">
        <v>168</v>
      </c>
      <c r="C58" t="s">
        <v>217</v>
      </c>
      <c r="D58" t="s">
        <v>32</v>
      </c>
      <c r="E58" t="s">
        <v>215</v>
      </c>
      <c r="F58" t="s">
        <v>218</v>
      </c>
      <c r="G58" s="2">
        <v>172800.54</v>
      </c>
      <c r="H58" s="2">
        <v>1738.2</v>
      </c>
      <c r="I58" s="2">
        <v>0</v>
      </c>
      <c r="J58" s="2">
        <v>2972.38</v>
      </c>
      <c r="K58" s="2">
        <v>4799.8</v>
      </c>
      <c r="L58" s="2">
        <v>182310.92</v>
      </c>
      <c r="M58" s="2"/>
      <c r="N58" s="2"/>
      <c r="O58" s="2"/>
      <c r="P58" s="2"/>
      <c r="Q58" s="2"/>
      <c r="R58" s="2">
        <v>1568.95</v>
      </c>
      <c r="S58" s="2"/>
      <c r="T58" s="2">
        <v>20</v>
      </c>
      <c r="U58" s="2">
        <v>1374.33</v>
      </c>
      <c r="V58" s="2">
        <v>185254.2</v>
      </c>
      <c r="W58">
        <v>1.0450999999999999</v>
      </c>
      <c r="X58" s="3">
        <f t="shared" si="0"/>
        <v>484.60535760000005</v>
      </c>
      <c r="Y58" t="str">
        <f t="shared" si="1"/>
        <v>Marítimo</v>
      </c>
    </row>
    <row r="59" spans="1:25" ht="15.6" x14ac:dyDescent="0.3">
      <c r="A59" t="s">
        <v>63</v>
      </c>
      <c r="B59" t="s">
        <v>219</v>
      </c>
      <c r="C59" t="s">
        <v>220</v>
      </c>
      <c r="D59" t="s">
        <v>32</v>
      </c>
      <c r="E59" t="s">
        <v>215</v>
      </c>
      <c r="F59" t="s">
        <v>221</v>
      </c>
      <c r="G59" s="2">
        <v>50359.32</v>
      </c>
      <c r="H59" s="2">
        <v>1835.78</v>
      </c>
      <c r="I59" s="2">
        <v>0</v>
      </c>
      <c r="J59" s="2">
        <v>3049.56</v>
      </c>
      <c r="K59" s="2">
        <v>78.8</v>
      </c>
      <c r="L59" s="2">
        <v>55323.46</v>
      </c>
      <c r="M59" s="2"/>
      <c r="N59" s="2"/>
      <c r="O59" s="2"/>
      <c r="P59" s="2"/>
      <c r="Q59" s="2"/>
      <c r="R59" s="2">
        <v>1770.2</v>
      </c>
      <c r="S59" s="2"/>
      <c r="T59" s="2">
        <v>20</v>
      </c>
      <c r="U59" s="2">
        <v>1027.8800000000001</v>
      </c>
      <c r="V59" s="2">
        <v>58121.53</v>
      </c>
      <c r="W59">
        <v>1.1540999999999999</v>
      </c>
      <c r="X59" s="3">
        <f t="shared" si="0"/>
        <v>150.81792179999999</v>
      </c>
      <c r="Y59" t="str">
        <f t="shared" si="1"/>
        <v>Marítimo</v>
      </c>
    </row>
    <row r="60" spans="1:25" ht="15.6" x14ac:dyDescent="0.3">
      <c r="A60" t="s">
        <v>29</v>
      </c>
      <c r="B60" t="s">
        <v>53</v>
      </c>
      <c r="C60" t="s">
        <v>222</v>
      </c>
      <c r="D60" t="s">
        <v>37</v>
      </c>
      <c r="E60" t="s">
        <v>223</v>
      </c>
      <c r="F60" t="s">
        <v>224</v>
      </c>
      <c r="G60" s="2">
        <v>6769.13</v>
      </c>
      <c r="H60" s="2">
        <v>380</v>
      </c>
      <c r="I60" s="2">
        <v>0</v>
      </c>
      <c r="J60" s="2">
        <v>50</v>
      </c>
      <c r="K60" s="2">
        <v>142.97999999999999</v>
      </c>
      <c r="L60" s="2">
        <v>7342.11</v>
      </c>
      <c r="M60" s="2"/>
      <c r="N60" s="2"/>
      <c r="O60" s="2"/>
      <c r="P60" s="2">
        <v>95</v>
      </c>
      <c r="Q60" s="2"/>
      <c r="R60" s="2">
        <v>585.83000000000004</v>
      </c>
      <c r="S60" s="2"/>
      <c r="T60" s="2"/>
      <c r="U60" s="2">
        <v>214.23</v>
      </c>
      <c r="V60" s="2">
        <v>8142.17</v>
      </c>
      <c r="W60">
        <v>1.2028000000000001</v>
      </c>
      <c r="X60" s="3">
        <f t="shared" si="0"/>
        <v>36.5</v>
      </c>
      <c r="Y60" t="str">
        <f t="shared" si="1"/>
        <v>Aéreo</v>
      </c>
    </row>
    <row r="61" spans="1:25" ht="15.6" x14ac:dyDescent="0.3">
      <c r="A61" t="s">
        <v>23</v>
      </c>
      <c r="B61" t="s">
        <v>35</v>
      </c>
      <c r="C61" t="s">
        <v>225</v>
      </c>
      <c r="D61" t="s">
        <v>37</v>
      </c>
      <c r="E61" t="s">
        <v>223</v>
      </c>
      <c r="F61" t="s">
        <v>226</v>
      </c>
      <c r="G61" s="2">
        <v>2367.6799999999998</v>
      </c>
      <c r="H61" s="2">
        <v>0</v>
      </c>
      <c r="I61" s="2">
        <v>0</v>
      </c>
      <c r="J61" s="2">
        <v>357.5</v>
      </c>
      <c r="K61" s="2">
        <v>8.6999999999999993</v>
      </c>
      <c r="L61" s="2">
        <v>2733.88</v>
      </c>
      <c r="M61" s="2"/>
      <c r="N61" s="2"/>
      <c r="O61" s="2"/>
      <c r="P61" s="2">
        <v>94</v>
      </c>
      <c r="Q61" s="2"/>
      <c r="R61" s="2">
        <v>234</v>
      </c>
      <c r="S61" s="2"/>
      <c r="T61" s="2">
        <v>20</v>
      </c>
      <c r="U61" s="2">
        <v>227.39</v>
      </c>
      <c r="V61" s="2">
        <v>3195.28</v>
      </c>
      <c r="W61">
        <v>1.3494999999999999</v>
      </c>
      <c r="X61" s="3">
        <f t="shared" si="0"/>
        <v>36.5</v>
      </c>
      <c r="Y61" t="str">
        <f t="shared" si="1"/>
        <v>Aéreo</v>
      </c>
    </row>
    <row r="62" spans="1:25" ht="15.6" x14ac:dyDescent="0.3">
      <c r="A62" t="s">
        <v>134</v>
      </c>
      <c r="B62" t="s">
        <v>227</v>
      </c>
      <c r="C62" t="s">
        <v>228</v>
      </c>
      <c r="D62" t="s">
        <v>32</v>
      </c>
      <c r="E62" t="s">
        <v>229</v>
      </c>
      <c r="F62" t="s">
        <v>230</v>
      </c>
      <c r="G62" s="2">
        <v>3453.92</v>
      </c>
      <c r="H62" s="2">
        <v>100</v>
      </c>
      <c r="I62" s="2">
        <v>0</v>
      </c>
      <c r="J62" s="2">
        <v>293.69</v>
      </c>
      <c r="K62" s="2">
        <v>32.659999999999997</v>
      </c>
      <c r="L62" s="2">
        <v>3880.28</v>
      </c>
      <c r="M62" s="2"/>
      <c r="N62" s="2"/>
      <c r="O62" s="2"/>
      <c r="P62" s="2">
        <v>85</v>
      </c>
      <c r="Q62" s="2"/>
      <c r="R62" s="2">
        <v>305.86</v>
      </c>
      <c r="S62" s="2"/>
      <c r="T62" s="2">
        <v>20</v>
      </c>
      <c r="U62" s="2">
        <v>226.38</v>
      </c>
      <c r="V62" s="2">
        <v>4412.5200000000004</v>
      </c>
      <c r="W62">
        <v>1.2775000000000001</v>
      </c>
      <c r="X62" s="3">
        <f t="shared" si="0"/>
        <v>36.5</v>
      </c>
      <c r="Y62" t="str">
        <f t="shared" si="1"/>
        <v>Aéreo</v>
      </c>
    </row>
    <row r="63" spans="1:25" ht="15.6" x14ac:dyDescent="0.3">
      <c r="A63" t="s">
        <v>29</v>
      </c>
      <c r="B63" t="s">
        <v>231</v>
      </c>
      <c r="C63" t="s">
        <v>232</v>
      </c>
      <c r="D63" t="s">
        <v>32</v>
      </c>
      <c r="E63" t="s">
        <v>233</v>
      </c>
      <c r="F63" t="s">
        <v>234</v>
      </c>
      <c r="G63" s="2">
        <v>3121.19</v>
      </c>
      <c r="H63" s="2">
        <v>229.31</v>
      </c>
      <c r="I63" s="2">
        <v>0</v>
      </c>
      <c r="J63" s="2">
        <v>527.16999999999996</v>
      </c>
      <c r="K63" s="2">
        <v>41.88</v>
      </c>
      <c r="L63" s="2">
        <v>3919.55</v>
      </c>
      <c r="M63" s="2"/>
      <c r="N63" s="2"/>
      <c r="O63" s="2"/>
      <c r="P63" s="2">
        <v>45</v>
      </c>
      <c r="Q63" s="2"/>
      <c r="R63" s="2">
        <v>329.8</v>
      </c>
      <c r="S63" s="2"/>
      <c r="T63" s="2"/>
      <c r="U63" s="2">
        <v>225.43</v>
      </c>
      <c r="V63" s="2">
        <v>4474.78</v>
      </c>
      <c r="W63">
        <v>1.4337</v>
      </c>
      <c r="X63" s="3">
        <f t="shared" si="0"/>
        <v>36.5</v>
      </c>
      <c r="Y63" t="str">
        <f t="shared" si="1"/>
        <v>Aéreo</v>
      </c>
    </row>
    <row r="64" spans="1:25" ht="15.6" x14ac:dyDescent="0.3">
      <c r="A64" t="s">
        <v>29</v>
      </c>
      <c r="B64" t="s">
        <v>235</v>
      </c>
      <c r="C64" t="s">
        <v>236</v>
      </c>
      <c r="D64" t="s">
        <v>32</v>
      </c>
      <c r="E64" t="s">
        <v>237</v>
      </c>
      <c r="F64" t="s">
        <v>238</v>
      </c>
      <c r="G64" s="2">
        <v>10807.78</v>
      </c>
      <c r="H64" s="2">
        <v>825.04</v>
      </c>
      <c r="I64" s="2">
        <v>0</v>
      </c>
      <c r="J64" s="2">
        <v>165.48</v>
      </c>
      <c r="K64" s="2">
        <v>36.049999999999997</v>
      </c>
      <c r="L64" s="2">
        <v>11834.35</v>
      </c>
      <c r="M64" s="2"/>
      <c r="N64" s="2"/>
      <c r="O64" s="2"/>
      <c r="P64" s="2">
        <v>217</v>
      </c>
      <c r="Q64" s="2"/>
      <c r="R64" s="2">
        <v>635.6</v>
      </c>
      <c r="S64" s="2"/>
      <c r="T64" s="2"/>
      <c r="U64" s="2">
        <v>225.43</v>
      </c>
      <c r="V64" s="2">
        <v>12695.38</v>
      </c>
      <c r="W64">
        <v>1.1747000000000001</v>
      </c>
      <c r="X64" s="3">
        <f t="shared" si="0"/>
        <v>36.5</v>
      </c>
      <c r="Y64" t="str">
        <f t="shared" si="1"/>
        <v>Marítimo</v>
      </c>
    </row>
    <row r="65" spans="1:25" ht="15.6" x14ac:dyDescent="0.3">
      <c r="A65" t="s">
        <v>29</v>
      </c>
      <c r="B65" t="s">
        <v>45</v>
      </c>
      <c r="C65" t="s">
        <v>239</v>
      </c>
      <c r="D65" t="s">
        <v>32</v>
      </c>
      <c r="E65" t="s">
        <v>237</v>
      </c>
      <c r="F65" t="s">
        <v>240</v>
      </c>
      <c r="G65" s="2">
        <v>78418.990000000005</v>
      </c>
      <c r="H65" s="2">
        <v>1192.8</v>
      </c>
      <c r="I65" s="2">
        <v>0</v>
      </c>
      <c r="J65" s="2">
        <v>3534.3</v>
      </c>
      <c r="K65" s="2">
        <v>122.47</v>
      </c>
      <c r="L65" s="2">
        <v>83268.56</v>
      </c>
      <c r="M65" s="2"/>
      <c r="N65" s="2"/>
      <c r="O65" s="2"/>
      <c r="P65" s="2">
        <v>130</v>
      </c>
      <c r="Q65" s="2"/>
      <c r="R65" s="2">
        <v>1935.04</v>
      </c>
      <c r="S65" s="2"/>
      <c r="T65" s="2"/>
      <c r="U65" s="2">
        <v>357.75</v>
      </c>
      <c r="V65" s="2">
        <v>85561.35</v>
      </c>
      <c r="W65">
        <v>1.0911</v>
      </c>
      <c r="X65" s="3">
        <f t="shared" si="0"/>
        <v>226.98882570000001</v>
      </c>
      <c r="Y65" t="str">
        <f t="shared" si="1"/>
        <v>Aéreo</v>
      </c>
    </row>
    <row r="66" spans="1:25" ht="15.6" x14ac:dyDescent="0.3">
      <c r="A66" t="s">
        <v>134</v>
      </c>
      <c r="B66" t="s">
        <v>241</v>
      </c>
      <c r="C66" t="s">
        <v>242</v>
      </c>
      <c r="D66" t="s">
        <v>32</v>
      </c>
      <c r="E66" t="s">
        <v>243</v>
      </c>
      <c r="F66" t="s">
        <v>244</v>
      </c>
      <c r="G66" s="2">
        <v>4865.1400000000003</v>
      </c>
      <c r="H66" s="2">
        <v>0</v>
      </c>
      <c r="I66" s="2">
        <v>0</v>
      </c>
      <c r="J66" s="2">
        <v>770</v>
      </c>
      <c r="K66" s="2">
        <v>5</v>
      </c>
      <c r="L66" s="2">
        <v>5640.14</v>
      </c>
      <c r="M66" s="2"/>
      <c r="N66" s="2"/>
      <c r="O66" s="2"/>
      <c r="P66" s="2">
        <v>108.47</v>
      </c>
      <c r="Q66" s="2"/>
      <c r="R66" s="2">
        <v>370.81</v>
      </c>
      <c r="S66" s="2"/>
      <c r="T66" s="2">
        <v>20</v>
      </c>
      <c r="U66" s="2">
        <v>283.85000000000002</v>
      </c>
      <c r="V66" s="2">
        <v>6294.8</v>
      </c>
      <c r="W66">
        <v>1.2939000000000001</v>
      </c>
      <c r="X66" s="3">
        <f t="shared" si="0"/>
        <v>36.5</v>
      </c>
      <c r="Y66" t="str">
        <f t="shared" si="1"/>
        <v>Aéreo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RowHeight="14.4" x14ac:dyDescent="0.3"/>
  <cols>
    <col min="1" max="1" width="16.796875" customWidth="1"/>
    <col min="2" max="2" width="12.796875" customWidth="1"/>
    <col min="3" max="3" width="18.796875" customWidth="1"/>
    <col min="4" max="4" width="20.796875" customWidth="1"/>
    <col min="5" max="5" width="22.796875" customWidth="1"/>
  </cols>
  <sheetData>
    <row r="1" spans="1:5" ht="15.6" x14ac:dyDescent="0.3">
      <c r="A1" t="s">
        <v>0</v>
      </c>
      <c r="B1" t="s">
        <v>245</v>
      </c>
      <c r="C1" t="s">
        <v>246</v>
      </c>
      <c r="D1" t="s">
        <v>11</v>
      </c>
      <c r="E1" t="s">
        <v>21</v>
      </c>
    </row>
    <row r="2" spans="1:5" ht="15.6" x14ac:dyDescent="0.3">
      <c r="A2" t="s">
        <v>23</v>
      </c>
      <c r="B2">
        <v>7</v>
      </c>
      <c r="C2">
        <v>57367.13</v>
      </c>
      <c r="D2">
        <v>63251.80999999999</v>
      </c>
      <c r="E2">
        <v>69642.41</v>
      </c>
    </row>
    <row r="3" spans="1:5" ht="15.6" x14ac:dyDescent="0.3">
      <c r="A3" t="s">
        <v>29</v>
      </c>
      <c r="B3">
        <v>39</v>
      </c>
      <c r="C3">
        <v>1890352.8300000003</v>
      </c>
      <c r="D3">
        <v>2007068.3600000003</v>
      </c>
      <c r="E3">
        <v>2067623.51</v>
      </c>
    </row>
    <row r="4" spans="1:5" ht="15.6" x14ac:dyDescent="0.3">
      <c r="A4" t="s">
        <v>63</v>
      </c>
      <c r="B4">
        <v>13</v>
      </c>
      <c r="C4">
        <v>503721.58</v>
      </c>
      <c r="D4">
        <v>543592.54999999993</v>
      </c>
      <c r="E4">
        <v>560512.43999999994</v>
      </c>
    </row>
    <row r="5" spans="1:5" ht="15.6" x14ac:dyDescent="0.3">
      <c r="A5" t="s">
        <v>134</v>
      </c>
      <c r="B5">
        <v>6</v>
      </c>
      <c r="C5">
        <v>64816.979999999996</v>
      </c>
      <c r="D5">
        <v>72525.11</v>
      </c>
      <c r="E5">
        <v>78657.41</v>
      </c>
    </row>
    <row r="6" spans="1:5" ht="15.6" x14ac:dyDescent="0.3">
      <c r="A6" t="s">
        <v>247</v>
      </c>
      <c r="B6">
        <v>65</v>
      </c>
      <c r="C6">
        <v>2516258.5199999996</v>
      </c>
      <c r="D6">
        <v>2686437.83</v>
      </c>
      <c r="E6">
        <v>2776435.7700000014</v>
      </c>
    </row>
  </sheetData>
  <pageMargins left="0.7" right="0.7" top="0.75" bottom="0.75" header="0.3" footer="0.3"/>
  <ignoredErrors>
    <ignoredError sqref="A1:E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RowHeight="14.4" x14ac:dyDescent="0.3"/>
  <cols>
    <col min="1" max="1" width="8.796875" customWidth="1"/>
    <col min="2" max="2" width="12.796875" customWidth="1"/>
    <col min="3" max="3" width="18.796875" customWidth="1"/>
    <col min="4" max="4" width="20.796875" customWidth="1"/>
    <col min="5" max="5" width="22.796875" customWidth="1"/>
  </cols>
  <sheetData>
    <row r="1" spans="1:5" ht="15.6" x14ac:dyDescent="0.3">
      <c r="A1" t="s">
        <v>248</v>
      </c>
      <c r="B1" t="s">
        <v>245</v>
      </c>
      <c r="C1" t="s">
        <v>246</v>
      </c>
      <c r="D1" t="s">
        <v>11</v>
      </c>
      <c r="E1" t="s">
        <v>21</v>
      </c>
    </row>
    <row r="2" spans="1:5" ht="15.6" x14ac:dyDescent="0.3">
      <c r="A2" t="s">
        <v>249</v>
      </c>
      <c r="B2">
        <v>16</v>
      </c>
      <c r="C2">
        <v>1222175.3800000001</v>
      </c>
      <c r="D2">
        <v>1293161.18</v>
      </c>
      <c r="E2">
        <v>1323525.0400000003</v>
      </c>
    </row>
    <row r="3" spans="1:5" ht="15.6" x14ac:dyDescent="0.3">
      <c r="A3" t="s">
        <v>250</v>
      </c>
      <c r="B3">
        <v>24</v>
      </c>
      <c r="C3">
        <v>572269.95000000007</v>
      </c>
      <c r="D3">
        <v>622240.40999999992</v>
      </c>
      <c r="E3">
        <v>655079.92999999982</v>
      </c>
    </row>
    <row r="4" spans="1:5" ht="15.6" x14ac:dyDescent="0.3">
      <c r="A4" t="s">
        <v>251</v>
      </c>
      <c r="B4">
        <v>17</v>
      </c>
      <c r="C4">
        <v>447914.14</v>
      </c>
      <c r="D4">
        <v>478713.07</v>
      </c>
      <c r="E4">
        <v>496789.71000000014</v>
      </c>
    </row>
    <row r="5" spans="1:5" ht="15.6" x14ac:dyDescent="0.3">
      <c r="A5" t="s">
        <v>252</v>
      </c>
      <c r="B5">
        <v>7</v>
      </c>
      <c r="C5">
        <v>273029.05</v>
      </c>
      <c r="D5">
        <v>291086.96999999997</v>
      </c>
      <c r="E5">
        <v>299227.03000000003</v>
      </c>
    </row>
    <row r="6" spans="1:5" ht="15.6" x14ac:dyDescent="0.3">
      <c r="A6" t="s">
        <v>253</v>
      </c>
      <c r="B6">
        <v>65</v>
      </c>
      <c r="C6">
        <v>2516258.5199999996</v>
      </c>
      <c r="D6">
        <v>2686437.83</v>
      </c>
      <c r="E6">
        <v>2776435.7700000014</v>
      </c>
    </row>
  </sheetData>
  <pageMargins left="0.7" right="0.7" top="0.75" bottom="0.75" header="0.3" footer="0.3"/>
  <ignoredErrors>
    <ignoredError sqref="A1:E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workbookViewId="0"/>
  </sheetViews>
  <sheetFormatPr baseColWidth="10" defaultRowHeight="14.4" x14ac:dyDescent="0.3"/>
  <cols>
    <col min="1" max="1" width="20.796875" customWidth="1"/>
    <col min="2" max="2" width="40.796875" customWidth="1"/>
    <col min="3" max="3" width="10.796875" customWidth="1"/>
    <col min="4" max="4" width="16.796875" customWidth="1"/>
    <col min="5" max="5" width="30.796875" customWidth="1"/>
    <col min="6" max="9" width="14.796875" customWidth="1"/>
    <col min="10" max="10" width="12.796875" customWidth="1"/>
    <col min="11" max="11" width="18.796875" customWidth="1"/>
    <col min="12" max="13" width="22.796875" customWidth="1"/>
    <col min="14" max="14" width="20.796875" customWidth="1"/>
    <col min="15" max="15" width="8.796875" customWidth="1"/>
  </cols>
  <sheetData>
    <row r="1" spans="1:15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</v>
      </c>
      <c r="M1" t="s">
        <v>20</v>
      </c>
      <c r="N1" t="s">
        <v>21</v>
      </c>
      <c r="O1" t="s">
        <v>22</v>
      </c>
    </row>
    <row r="2" spans="1:15" ht="15.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870</v>
      </c>
      <c r="G2">
        <v>0</v>
      </c>
      <c r="H2">
        <v>0</v>
      </c>
      <c r="I2">
        <v>357.5</v>
      </c>
      <c r="J2">
        <v>8.6999999999999993</v>
      </c>
      <c r="K2">
        <v>1236.2</v>
      </c>
      <c r="L2">
        <v>377.43</v>
      </c>
      <c r="M2">
        <v>200.43</v>
      </c>
      <c r="N2">
        <v>1814.06</v>
      </c>
      <c r="O2">
        <v>2.0851000000000002</v>
      </c>
    </row>
    <row r="3" spans="1:15" ht="15.6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F3">
        <v>849</v>
      </c>
      <c r="G3">
        <v>147.72999999999999</v>
      </c>
      <c r="H3">
        <v>0</v>
      </c>
      <c r="I3">
        <v>381.55</v>
      </c>
      <c r="J3">
        <v>9.9700000000000006</v>
      </c>
      <c r="K3">
        <v>1388.24</v>
      </c>
      <c r="L3">
        <v>831.49</v>
      </c>
      <c r="M3">
        <v>183.04</v>
      </c>
      <c r="N3">
        <v>2402.7800000000002</v>
      </c>
    </row>
    <row r="4" spans="1:15" ht="15.6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>
        <v>12194.38</v>
      </c>
      <c r="G4">
        <v>701.25</v>
      </c>
      <c r="H4">
        <v>0</v>
      </c>
      <c r="I4">
        <v>897.6</v>
      </c>
      <c r="J4">
        <v>220.19</v>
      </c>
      <c r="K4">
        <v>14013.42</v>
      </c>
      <c r="L4">
        <v>1594.19</v>
      </c>
      <c r="M4">
        <v>480.87</v>
      </c>
      <c r="N4">
        <v>16088.48</v>
      </c>
      <c r="O4">
        <v>1.3192999999999999</v>
      </c>
    </row>
    <row r="5" spans="1:15" ht="15.6" x14ac:dyDescent="0.3">
      <c r="A5" t="s">
        <v>67</v>
      </c>
      <c r="B5" t="s">
        <v>68</v>
      </c>
      <c r="C5" t="s">
        <v>26</v>
      </c>
      <c r="D5" t="s">
        <v>69</v>
      </c>
      <c r="E5" t="s">
        <v>70</v>
      </c>
      <c r="F5">
        <v>2451.8200000000002</v>
      </c>
      <c r="G5">
        <v>0</v>
      </c>
      <c r="H5">
        <v>0</v>
      </c>
      <c r="I5">
        <v>275</v>
      </c>
      <c r="J5">
        <v>33.64</v>
      </c>
      <c r="K5">
        <v>2760.46</v>
      </c>
      <c r="L5">
        <v>233.81</v>
      </c>
      <c r="M5">
        <v>183.04</v>
      </c>
      <c r="N5">
        <v>3177.31</v>
      </c>
      <c r="O5">
        <v>1.2959000000000001</v>
      </c>
    </row>
    <row r="6" spans="1:15" ht="15.6" x14ac:dyDescent="0.3">
      <c r="A6" t="s">
        <v>88</v>
      </c>
      <c r="B6" t="s">
        <v>89</v>
      </c>
      <c r="C6" t="s">
        <v>26</v>
      </c>
      <c r="D6" t="s">
        <v>90</v>
      </c>
      <c r="E6" t="s">
        <v>91</v>
      </c>
      <c r="F6">
        <v>22210</v>
      </c>
      <c r="G6">
        <v>0</v>
      </c>
      <c r="H6">
        <v>0</v>
      </c>
      <c r="I6">
        <v>1600</v>
      </c>
      <c r="J6">
        <v>222.1</v>
      </c>
      <c r="K6">
        <v>24032.1</v>
      </c>
      <c r="L6">
        <v>390</v>
      </c>
      <c r="M6">
        <v>979.57</v>
      </c>
      <c r="N6">
        <v>25401.67</v>
      </c>
      <c r="O6">
        <v>1.1436999999999999</v>
      </c>
    </row>
    <row r="7" spans="1:15" ht="15.6" x14ac:dyDescent="0.3">
      <c r="A7" t="s">
        <v>67</v>
      </c>
      <c r="B7" t="s">
        <v>92</v>
      </c>
      <c r="C7" t="s">
        <v>26</v>
      </c>
      <c r="D7" t="s">
        <v>90</v>
      </c>
      <c r="E7" t="s">
        <v>93</v>
      </c>
      <c r="F7">
        <v>16424.25</v>
      </c>
      <c r="G7">
        <v>243.54</v>
      </c>
      <c r="H7">
        <v>0</v>
      </c>
      <c r="I7">
        <v>253.04</v>
      </c>
      <c r="J7">
        <v>166.68</v>
      </c>
      <c r="K7">
        <v>17087.509999999998</v>
      </c>
      <c r="L7">
        <v>292.27</v>
      </c>
      <c r="M7">
        <v>183.04</v>
      </c>
      <c r="N7">
        <v>17562.830000000002</v>
      </c>
      <c r="O7">
        <v>1.0692999999999999</v>
      </c>
    </row>
    <row r="8" spans="1:15" ht="15.6" x14ac:dyDescent="0.3">
      <c r="A8" t="s">
        <v>35</v>
      </c>
      <c r="B8" t="s">
        <v>225</v>
      </c>
      <c r="C8" t="s">
        <v>37</v>
      </c>
      <c r="D8" t="s">
        <v>223</v>
      </c>
      <c r="E8" t="s">
        <v>226</v>
      </c>
      <c r="F8">
        <v>2367.6799999999998</v>
      </c>
      <c r="G8">
        <v>0</v>
      </c>
      <c r="H8">
        <v>0</v>
      </c>
      <c r="I8">
        <v>357.5</v>
      </c>
      <c r="J8">
        <v>8.6999999999999993</v>
      </c>
      <c r="K8">
        <v>2733.88</v>
      </c>
      <c r="L8">
        <v>234</v>
      </c>
      <c r="M8">
        <v>227.39</v>
      </c>
      <c r="N8">
        <v>3195.28</v>
      </c>
      <c r="O8">
        <v>1.3494999999999999</v>
      </c>
    </row>
  </sheetData>
  <pageMargins left="0.7" right="0.7" top="0.75" bottom="0.75" header="0.3" footer="0.3"/>
  <ignoredErrors>
    <ignoredError sqref="A1:O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0"/>
  <sheetViews>
    <sheetView workbookViewId="0"/>
  </sheetViews>
  <sheetFormatPr baseColWidth="10" defaultRowHeight="14.4" x14ac:dyDescent="0.3"/>
  <cols>
    <col min="1" max="1" width="20.796875" customWidth="1"/>
    <col min="2" max="2" width="40.796875" customWidth="1"/>
    <col min="3" max="3" width="10.796875" customWidth="1"/>
    <col min="4" max="4" width="16.796875" customWidth="1"/>
    <col min="5" max="5" width="30.796875" customWidth="1"/>
    <col min="6" max="9" width="14.796875" customWidth="1"/>
    <col min="10" max="10" width="12.796875" customWidth="1"/>
    <col min="11" max="11" width="18.796875" customWidth="1"/>
    <col min="12" max="13" width="22.796875" customWidth="1"/>
    <col min="14" max="14" width="20.796875" customWidth="1"/>
    <col min="15" max="15" width="8.796875" customWidth="1"/>
  </cols>
  <sheetData>
    <row r="1" spans="1:15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</v>
      </c>
      <c r="M1" t="s">
        <v>20</v>
      </c>
      <c r="N1" t="s">
        <v>21</v>
      </c>
      <c r="O1" t="s">
        <v>22</v>
      </c>
    </row>
    <row r="2" spans="1:15" ht="15.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>
        <v>42100</v>
      </c>
      <c r="G2">
        <v>2500</v>
      </c>
      <c r="H2">
        <v>0</v>
      </c>
      <c r="I2">
        <v>1500</v>
      </c>
      <c r="J2">
        <v>446</v>
      </c>
      <c r="K2">
        <v>46546</v>
      </c>
      <c r="L2">
        <v>2000</v>
      </c>
      <c r="M2">
        <v>240.9</v>
      </c>
      <c r="N2">
        <v>48786.9</v>
      </c>
      <c r="O2">
        <v>1.1588000000000001</v>
      </c>
    </row>
    <row r="3" spans="1:15" ht="15.6" x14ac:dyDescent="0.3">
      <c r="A3" t="s">
        <v>45</v>
      </c>
      <c r="B3" t="s">
        <v>46</v>
      </c>
      <c r="C3" t="s">
        <v>32</v>
      </c>
      <c r="D3" t="s">
        <v>47</v>
      </c>
      <c r="E3" t="s">
        <v>48</v>
      </c>
      <c r="F3">
        <v>38924.33</v>
      </c>
      <c r="G3">
        <v>1009.2</v>
      </c>
      <c r="H3">
        <v>0</v>
      </c>
      <c r="I3">
        <v>1772.69</v>
      </c>
      <c r="J3">
        <v>449.2</v>
      </c>
      <c r="K3">
        <v>42155.42</v>
      </c>
      <c r="L3">
        <v>958.64</v>
      </c>
      <c r="M3">
        <v>230.82</v>
      </c>
      <c r="N3">
        <v>43344.88</v>
      </c>
      <c r="O3">
        <v>1.1135999999999999</v>
      </c>
    </row>
    <row r="4" spans="1:15" ht="15.6" x14ac:dyDescent="0.3">
      <c r="A4" t="s">
        <v>45</v>
      </c>
      <c r="B4" t="s">
        <v>49</v>
      </c>
      <c r="C4" t="s">
        <v>50</v>
      </c>
      <c r="D4" t="s">
        <v>51</v>
      </c>
      <c r="E4" t="s">
        <v>52</v>
      </c>
      <c r="F4">
        <v>1145.2</v>
      </c>
      <c r="G4">
        <v>0</v>
      </c>
      <c r="H4">
        <v>0</v>
      </c>
      <c r="I4">
        <v>22.9</v>
      </c>
      <c r="J4">
        <v>8.59</v>
      </c>
      <c r="K4">
        <v>1176.69</v>
      </c>
      <c r="L4">
        <v>109</v>
      </c>
      <c r="N4">
        <v>1285.69</v>
      </c>
      <c r="O4">
        <v>1.1227</v>
      </c>
    </row>
    <row r="5" spans="1:15" ht="15.6" x14ac:dyDescent="0.3">
      <c r="A5" t="s">
        <v>53</v>
      </c>
      <c r="B5" t="s">
        <v>54</v>
      </c>
      <c r="C5" t="s">
        <v>50</v>
      </c>
      <c r="D5" t="s">
        <v>51</v>
      </c>
      <c r="E5" t="s">
        <v>55</v>
      </c>
      <c r="F5">
        <v>2326.7399999999998</v>
      </c>
      <c r="G5">
        <v>130</v>
      </c>
      <c r="H5">
        <v>0</v>
      </c>
      <c r="I5">
        <v>416.5</v>
      </c>
      <c r="J5">
        <v>49.13</v>
      </c>
      <c r="K5">
        <v>2922.38</v>
      </c>
      <c r="L5">
        <v>126.27</v>
      </c>
      <c r="M5">
        <v>147.83000000000001</v>
      </c>
      <c r="N5">
        <v>3196.47</v>
      </c>
      <c r="O5">
        <v>1.3737999999999999</v>
      </c>
    </row>
    <row r="6" spans="1:15" ht="15.6" x14ac:dyDescent="0.3">
      <c r="A6" t="s">
        <v>56</v>
      </c>
      <c r="B6" t="s">
        <v>57</v>
      </c>
      <c r="C6" t="s">
        <v>32</v>
      </c>
      <c r="D6" t="s">
        <v>58</v>
      </c>
      <c r="E6" t="s">
        <v>59</v>
      </c>
      <c r="F6">
        <v>135942.96</v>
      </c>
      <c r="G6">
        <v>2283.4299999999998</v>
      </c>
      <c r="H6">
        <v>0</v>
      </c>
      <c r="I6">
        <v>2565</v>
      </c>
      <c r="J6">
        <v>1382.26</v>
      </c>
      <c r="K6">
        <v>142173.65</v>
      </c>
      <c r="L6">
        <v>901.63</v>
      </c>
      <c r="M6">
        <v>1216.9100000000001</v>
      </c>
      <c r="N6">
        <v>144292.19</v>
      </c>
      <c r="O6">
        <v>1.0613999999999999</v>
      </c>
    </row>
    <row r="7" spans="1:15" ht="15.6" x14ac:dyDescent="0.3">
      <c r="A7" t="s">
        <v>60</v>
      </c>
      <c r="B7" t="s">
        <v>61</v>
      </c>
      <c r="C7" t="s">
        <v>32</v>
      </c>
      <c r="D7" t="s">
        <v>58</v>
      </c>
      <c r="E7" t="s">
        <v>62</v>
      </c>
      <c r="F7">
        <v>47185.440000000002</v>
      </c>
      <c r="G7">
        <v>875.8</v>
      </c>
      <c r="H7">
        <v>0</v>
      </c>
      <c r="I7">
        <v>2286.36</v>
      </c>
      <c r="J7">
        <v>479.03</v>
      </c>
      <c r="K7">
        <v>50826.63</v>
      </c>
      <c r="L7">
        <v>793.75</v>
      </c>
      <c r="M7">
        <v>527.20000000000005</v>
      </c>
      <c r="N7">
        <v>52147.57</v>
      </c>
      <c r="O7">
        <v>1.1052</v>
      </c>
    </row>
    <row r="8" spans="1:15" ht="15.6" x14ac:dyDescent="0.3">
      <c r="A8" t="s">
        <v>71</v>
      </c>
      <c r="B8" t="s">
        <v>72</v>
      </c>
      <c r="C8" t="s">
        <v>32</v>
      </c>
      <c r="D8" t="s">
        <v>73</v>
      </c>
      <c r="E8" t="s">
        <v>74</v>
      </c>
      <c r="F8">
        <v>579505.84</v>
      </c>
      <c r="G8">
        <v>4879.26</v>
      </c>
      <c r="H8">
        <v>0</v>
      </c>
      <c r="I8">
        <v>4630</v>
      </c>
      <c r="J8">
        <v>5843.85</v>
      </c>
      <c r="K8">
        <v>594858.94999999995</v>
      </c>
      <c r="L8">
        <v>1603.26</v>
      </c>
      <c r="M8">
        <v>2713.85</v>
      </c>
      <c r="N8">
        <v>599176.06000000006</v>
      </c>
      <c r="O8">
        <v>1.0339</v>
      </c>
    </row>
    <row r="9" spans="1:15" ht="15.6" x14ac:dyDescent="0.3">
      <c r="A9" t="s">
        <v>30</v>
      </c>
      <c r="B9" t="s">
        <v>75</v>
      </c>
      <c r="C9" t="s">
        <v>32</v>
      </c>
      <c r="D9" t="s">
        <v>76</v>
      </c>
      <c r="E9" t="s">
        <v>77</v>
      </c>
      <c r="F9">
        <v>70860</v>
      </c>
      <c r="G9">
        <v>5000</v>
      </c>
      <c r="H9">
        <v>0</v>
      </c>
      <c r="I9">
        <v>3000</v>
      </c>
      <c r="J9">
        <v>122.04</v>
      </c>
      <c r="K9">
        <v>78982.039999999994</v>
      </c>
      <c r="L9">
        <v>4000</v>
      </c>
      <c r="M9">
        <v>318.36</v>
      </c>
      <c r="N9">
        <v>83300.399999999994</v>
      </c>
      <c r="O9">
        <v>1.1756</v>
      </c>
    </row>
    <row r="10" spans="1:15" ht="15.6" x14ac:dyDescent="0.3">
      <c r="A10" t="s">
        <v>45</v>
      </c>
      <c r="B10" t="s">
        <v>78</v>
      </c>
      <c r="C10" t="s">
        <v>26</v>
      </c>
      <c r="D10" t="s">
        <v>42</v>
      </c>
      <c r="E10" t="s">
        <v>79</v>
      </c>
      <c r="F10">
        <v>44574.16</v>
      </c>
      <c r="G10">
        <v>810</v>
      </c>
      <c r="H10">
        <v>0</v>
      </c>
      <c r="I10">
        <v>556.5</v>
      </c>
      <c r="J10">
        <v>67.67</v>
      </c>
      <c r="K10">
        <v>46008.33</v>
      </c>
      <c r="L10">
        <v>470</v>
      </c>
      <c r="M10">
        <v>341.36</v>
      </c>
      <c r="N10">
        <v>46819.69</v>
      </c>
      <c r="O10">
        <v>1.0504</v>
      </c>
    </row>
    <row r="11" spans="1:15" ht="15.6" x14ac:dyDescent="0.3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>
        <v>81277</v>
      </c>
      <c r="G11">
        <v>2285</v>
      </c>
      <c r="H11">
        <v>0</v>
      </c>
      <c r="I11">
        <v>3100</v>
      </c>
      <c r="J11">
        <v>122.72</v>
      </c>
      <c r="K11">
        <v>86784.72</v>
      </c>
      <c r="L11">
        <v>780</v>
      </c>
      <c r="M11">
        <v>1631.19</v>
      </c>
      <c r="N11">
        <v>89195.91</v>
      </c>
      <c r="O11">
        <v>1.0973999999999999</v>
      </c>
    </row>
    <row r="12" spans="1:15" ht="15.6" x14ac:dyDescent="0.3">
      <c r="A12" t="s">
        <v>85</v>
      </c>
      <c r="B12" t="s">
        <v>86</v>
      </c>
      <c r="C12" t="s">
        <v>26</v>
      </c>
      <c r="D12" t="s">
        <v>83</v>
      </c>
      <c r="E12" t="s">
        <v>87</v>
      </c>
      <c r="F12">
        <v>47173.16</v>
      </c>
      <c r="G12">
        <v>1206.5</v>
      </c>
      <c r="H12">
        <v>0</v>
      </c>
      <c r="I12">
        <v>3111.5</v>
      </c>
      <c r="J12">
        <v>72.989999999999995</v>
      </c>
      <c r="K12">
        <v>51564.15</v>
      </c>
      <c r="L12">
        <v>973.95</v>
      </c>
      <c r="M12">
        <v>552.13</v>
      </c>
      <c r="N12">
        <v>53090.23</v>
      </c>
      <c r="O12">
        <v>1.1254</v>
      </c>
    </row>
    <row r="13" spans="1:15" ht="15.6" x14ac:dyDescent="0.3">
      <c r="A13" t="s">
        <v>30</v>
      </c>
      <c r="B13" t="s">
        <v>98</v>
      </c>
      <c r="C13" t="s">
        <v>32</v>
      </c>
      <c r="D13" t="s">
        <v>99</v>
      </c>
      <c r="E13" t="s">
        <v>100</v>
      </c>
      <c r="F13">
        <v>167326</v>
      </c>
      <c r="G13">
        <v>5000</v>
      </c>
      <c r="H13">
        <v>0</v>
      </c>
      <c r="I13">
        <v>3000</v>
      </c>
      <c r="J13">
        <v>1723.26</v>
      </c>
      <c r="K13">
        <v>177049.26</v>
      </c>
      <c r="L13">
        <v>4000</v>
      </c>
      <c r="M13">
        <v>563.52</v>
      </c>
      <c r="N13">
        <v>181612.78</v>
      </c>
      <c r="O13">
        <v>1.0853999999999999</v>
      </c>
    </row>
    <row r="14" spans="1:15" ht="15.6" x14ac:dyDescent="0.3">
      <c r="A14" t="s">
        <v>101</v>
      </c>
      <c r="B14" t="s">
        <v>102</v>
      </c>
      <c r="C14" t="s">
        <v>32</v>
      </c>
      <c r="D14" t="s">
        <v>99</v>
      </c>
      <c r="E14" t="s">
        <v>103</v>
      </c>
      <c r="F14">
        <v>41186.980000000003</v>
      </c>
      <c r="G14">
        <v>2500</v>
      </c>
      <c r="H14">
        <v>0</v>
      </c>
      <c r="I14">
        <v>1500</v>
      </c>
      <c r="J14">
        <v>436.87</v>
      </c>
      <c r="K14">
        <v>45623.85</v>
      </c>
      <c r="L14">
        <v>2000</v>
      </c>
      <c r="M14">
        <v>240.9</v>
      </c>
      <c r="N14">
        <v>47864.75</v>
      </c>
      <c r="O14">
        <v>1.1620999999999999</v>
      </c>
    </row>
    <row r="15" spans="1:15" ht="15.6" x14ac:dyDescent="0.3">
      <c r="A15" t="s">
        <v>35</v>
      </c>
      <c r="B15" t="s">
        <v>104</v>
      </c>
      <c r="C15" t="s">
        <v>32</v>
      </c>
      <c r="D15" t="s">
        <v>105</v>
      </c>
      <c r="E15" t="s">
        <v>106</v>
      </c>
      <c r="F15">
        <v>35325.75</v>
      </c>
      <c r="G15">
        <v>2066.25</v>
      </c>
      <c r="H15">
        <v>0</v>
      </c>
      <c r="I15">
        <v>2415</v>
      </c>
      <c r="J15">
        <v>373.92</v>
      </c>
      <c r="K15">
        <v>40180.92</v>
      </c>
      <c r="L15">
        <v>901.63</v>
      </c>
      <c r="M15">
        <v>494.68</v>
      </c>
      <c r="N15">
        <v>41577.24</v>
      </c>
      <c r="O15">
        <v>1.177</v>
      </c>
    </row>
    <row r="16" spans="1:15" ht="15.6" x14ac:dyDescent="0.3">
      <c r="A16" t="s">
        <v>45</v>
      </c>
      <c r="B16" t="s">
        <v>107</v>
      </c>
      <c r="C16" t="s">
        <v>37</v>
      </c>
      <c r="D16" t="s">
        <v>108</v>
      </c>
      <c r="E16" t="s">
        <v>109</v>
      </c>
      <c r="F16">
        <v>4703.6099999999997</v>
      </c>
      <c r="G16">
        <v>0</v>
      </c>
      <c r="H16">
        <v>0</v>
      </c>
      <c r="I16">
        <v>229.06</v>
      </c>
      <c r="J16">
        <v>36.049999999999997</v>
      </c>
      <c r="K16">
        <v>4968.72</v>
      </c>
      <c r="L16">
        <v>379.06</v>
      </c>
      <c r="M16">
        <v>214.23</v>
      </c>
      <c r="N16">
        <v>5562.01</v>
      </c>
      <c r="O16">
        <v>1.1825000000000001</v>
      </c>
    </row>
    <row r="17" spans="1:15" ht="15.6" x14ac:dyDescent="0.3">
      <c r="A17" t="s">
        <v>110</v>
      </c>
      <c r="B17" t="s">
        <v>111</v>
      </c>
      <c r="C17" t="s">
        <v>32</v>
      </c>
      <c r="D17" t="s">
        <v>108</v>
      </c>
      <c r="E17" t="s">
        <v>112</v>
      </c>
      <c r="F17">
        <v>13943</v>
      </c>
      <c r="G17">
        <v>0</v>
      </c>
      <c r="H17">
        <v>0</v>
      </c>
      <c r="I17">
        <v>1700</v>
      </c>
      <c r="J17">
        <v>36.049999999999997</v>
      </c>
      <c r="K17">
        <v>15679.05</v>
      </c>
      <c r="L17">
        <v>570</v>
      </c>
      <c r="M17">
        <v>812.57</v>
      </c>
      <c r="N17">
        <v>17061.62</v>
      </c>
      <c r="O17">
        <v>1.2237</v>
      </c>
    </row>
    <row r="18" spans="1:15" ht="15.6" x14ac:dyDescent="0.3">
      <c r="A18" t="s">
        <v>113</v>
      </c>
      <c r="B18" t="s">
        <v>114</v>
      </c>
      <c r="C18" t="s">
        <v>32</v>
      </c>
      <c r="D18" t="s">
        <v>115</v>
      </c>
      <c r="E18" t="s">
        <v>116</v>
      </c>
      <c r="F18">
        <v>4321.18</v>
      </c>
      <c r="G18">
        <v>944.48</v>
      </c>
      <c r="H18">
        <v>0</v>
      </c>
      <c r="I18">
        <v>436.62</v>
      </c>
      <c r="J18">
        <v>36.049999999999997</v>
      </c>
      <c r="K18">
        <v>5738.34</v>
      </c>
      <c r="L18">
        <v>497.67</v>
      </c>
      <c r="M18">
        <v>240.39</v>
      </c>
      <c r="N18">
        <v>6476.4</v>
      </c>
      <c r="O18">
        <v>1.4987999999999999</v>
      </c>
    </row>
    <row r="19" spans="1:15" ht="15.6" x14ac:dyDescent="0.3">
      <c r="A19" t="s">
        <v>45</v>
      </c>
      <c r="B19" t="s">
        <v>117</v>
      </c>
      <c r="C19" t="s">
        <v>37</v>
      </c>
      <c r="D19" t="s">
        <v>115</v>
      </c>
      <c r="E19" t="s">
        <v>118</v>
      </c>
      <c r="F19">
        <v>5405.74</v>
      </c>
      <c r="G19">
        <v>0</v>
      </c>
      <c r="H19">
        <v>0</v>
      </c>
      <c r="I19">
        <v>241.61</v>
      </c>
      <c r="J19">
        <v>36.049999999999997</v>
      </c>
      <c r="K19">
        <v>5683.4</v>
      </c>
      <c r="L19">
        <v>682.21</v>
      </c>
      <c r="M19">
        <v>214.23</v>
      </c>
      <c r="N19">
        <v>6579.84</v>
      </c>
      <c r="O19">
        <v>1.2172000000000001</v>
      </c>
    </row>
    <row r="20" spans="1:15" ht="15.6" x14ac:dyDescent="0.3">
      <c r="A20" t="s">
        <v>119</v>
      </c>
      <c r="B20" t="s">
        <v>120</v>
      </c>
      <c r="C20" t="s">
        <v>32</v>
      </c>
      <c r="D20" t="s">
        <v>121</v>
      </c>
      <c r="E20" t="s">
        <v>122</v>
      </c>
      <c r="F20">
        <v>645.70000000000005</v>
      </c>
      <c r="G20">
        <v>20</v>
      </c>
      <c r="H20">
        <v>0</v>
      </c>
      <c r="I20">
        <v>59.75</v>
      </c>
      <c r="J20">
        <v>4.99</v>
      </c>
      <c r="K20">
        <v>730.44</v>
      </c>
      <c r="L20">
        <v>279.99</v>
      </c>
      <c r="N20">
        <v>1010.43</v>
      </c>
      <c r="O20">
        <v>1.5649</v>
      </c>
    </row>
    <row r="21" spans="1:15" ht="15.6" x14ac:dyDescent="0.3">
      <c r="A21" t="s">
        <v>126</v>
      </c>
      <c r="B21" t="s">
        <v>127</v>
      </c>
      <c r="C21" t="s">
        <v>32</v>
      </c>
      <c r="D21" t="s">
        <v>128</v>
      </c>
      <c r="E21" t="s">
        <v>129</v>
      </c>
      <c r="F21">
        <v>64000</v>
      </c>
      <c r="G21">
        <v>0</v>
      </c>
      <c r="H21">
        <v>0</v>
      </c>
      <c r="I21">
        <v>3400</v>
      </c>
      <c r="J21">
        <v>99.27</v>
      </c>
      <c r="K21">
        <v>67499.27</v>
      </c>
      <c r="L21">
        <v>1821.26</v>
      </c>
      <c r="M21">
        <v>896.32</v>
      </c>
      <c r="N21">
        <v>70216.850000000006</v>
      </c>
      <c r="O21">
        <v>1.0971</v>
      </c>
    </row>
    <row r="22" spans="1:15" ht="15.6" x14ac:dyDescent="0.3">
      <c r="A22" t="s">
        <v>45</v>
      </c>
      <c r="B22" t="s">
        <v>138</v>
      </c>
      <c r="C22" t="s">
        <v>32</v>
      </c>
      <c r="D22" t="s">
        <v>139</v>
      </c>
      <c r="E22" t="s">
        <v>140</v>
      </c>
      <c r="F22">
        <v>42521.19</v>
      </c>
      <c r="G22">
        <v>540</v>
      </c>
      <c r="H22">
        <v>0</v>
      </c>
      <c r="I22">
        <v>19.68</v>
      </c>
      <c r="J22">
        <v>63.45</v>
      </c>
      <c r="K22">
        <v>43144.32</v>
      </c>
      <c r="L22">
        <v>589.61</v>
      </c>
      <c r="M22">
        <v>256.85000000000002</v>
      </c>
      <c r="N22">
        <v>43990.78</v>
      </c>
      <c r="O22">
        <v>1.0346</v>
      </c>
    </row>
    <row r="23" spans="1:15" ht="15.6" x14ac:dyDescent="0.3">
      <c r="A23" t="s">
        <v>141</v>
      </c>
      <c r="B23" t="s">
        <v>142</v>
      </c>
      <c r="C23" t="s">
        <v>50</v>
      </c>
      <c r="D23" t="s">
        <v>139</v>
      </c>
      <c r="E23" t="s">
        <v>143</v>
      </c>
      <c r="F23">
        <v>40771.360000000001</v>
      </c>
      <c r="G23">
        <v>0</v>
      </c>
      <c r="H23">
        <v>0</v>
      </c>
      <c r="I23">
        <v>7250</v>
      </c>
      <c r="J23">
        <v>411.83</v>
      </c>
      <c r="K23">
        <v>48433.19</v>
      </c>
      <c r="L23">
        <v>4493.1499999999996</v>
      </c>
      <c r="M23">
        <v>1808.07</v>
      </c>
      <c r="N23">
        <v>54734.41</v>
      </c>
      <c r="O23">
        <v>1.3425</v>
      </c>
    </row>
    <row r="24" spans="1:15" ht="15.6" x14ac:dyDescent="0.3">
      <c r="A24" t="s">
        <v>45</v>
      </c>
      <c r="B24" t="s">
        <v>147</v>
      </c>
      <c r="C24" t="s">
        <v>32</v>
      </c>
      <c r="D24" t="s">
        <v>148</v>
      </c>
      <c r="E24" t="s">
        <v>149</v>
      </c>
      <c r="F24">
        <v>15887.7</v>
      </c>
      <c r="G24">
        <v>608</v>
      </c>
      <c r="H24">
        <v>0</v>
      </c>
      <c r="I24">
        <v>1063.53</v>
      </c>
      <c r="J24">
        <v>169.69</v>
      </c>
      <c r="K24">
        <v>17728.919999999998</v>
      </c>
      <c r="L24">
        <v>591.45000000000005</v>
      </c>
      <c r="M24">
        <v>225.43</v>
      </c>
      <c r="N24">
        <v>18545.8</v>
      </c>
      <c r="O24">
        <v>1.1673</v>
      </c>
    </row>
    <row r="25" spans="1:15" ht="15.6" x14ac:dyDescent="0.3">
      <c r="A25" t="s">
        <v>150</v>
      </c>
      <c r="B25" t="s">
        <v>151</v>
      </c>
      <c r="C25" t="s">
        <v>32</v>
      </c>
      <c r="D25" t="s">
        <v>152</v>
      </c>
      <c r="E25" t="s">
        <v>153</v>
      </c>
      <c r="F25">
        <v>22867.81</v>
      </c>
      <c r="G25">
        <v>998.4</v>
      </c>
      <c r="H25">
        <v>0</v>
      </c>
      <c r="I25">
        <v>1600</v>
      </c>
      <c r="J25">
        <v>37.869999999999997</v>
      </c>
      <c r="K25">
        <v>25504.080000000002</v>
      </c>
      <c r="L25">
        <v>811.25</v>
      </c>
      <c r="M25">
        <v>954.23</v>
      </c>
      <c r="N25">
        <v>27269.57</v>
      </c>
      <c r="O25">
        <v>1.1924999999999999</v>
      </c>
    </row>
    <row r="26" spans="1:15" ht="15.6" x14ac:dyDescent="0.3">
      <c r="A26" t="s">
        <v>154</v>
      </c>
      <c r="B26" t="s">
        <v>155</v>
      </c>
      <c r="C26" t="s">
        <v>37</v>
      </c>
      <c r="D26" t="s">
        <v>152</v>
      </c>
      <c r="E26" t="s">
        <v>156</v>
      </c>
      <c r="F26">
        <v>9649.4</v>
      </c>
      <c r="G26">
        <v>0</v>
      </c>
      <c r="H26">
        <v>0</v>
      </c>
      <c r="I26">
        <v>185</v>
      </c>
      <c r="J26">
        <v>168.87</v>
      </c>
      <c r="K26">
        <v>10003.26</v>
      </c>
      <c r="L26">
        <v>530.20000000000005</v>
      </c>
      <c r="M26">
        <v>147.83000000000001</v>
      </c>
      <c r="N26">
        <v>10681.29</v>
      </c>
      <c r="O26">
        <v>1.1069</v>
      </c>
    </row>
    <row r="27" spans="1:15" ht="15.6" x14ac:dyDescent="0.3">
      <c r="A27" t="s">
        <v>30</v>
      </c>
      <c r="B27" t="s">
        <v>179</v>
      </c>
      <c r="C27" t="s">
        <v>32</v>
      </c>
      <c r="D27" t="s">
        <v>180</v>
      </c>
      <c r="E27" t="s">
        <v>181</v>
      </c>
      <c r="F27">
        <v>92031</v>
      </c>
      <c r="G27">
        <v>2500</v>
      </c>
      <c r="H27">
        <v>0</v>
      </c>
      <c r="I27">
        <v>1500</v>
      </c>
      <c r="J27">
        <v>945.31</v>
      </c>
      <c r="K27">
        <v>96976.31</v>
      </c>
      <c r="L27">
        <v>2000</v>
      </c>
      <c r="M27">
        <v>363.34</v>
      </c>
      <c r="N27">
        <v>99339.65</v>
      </c>
      <c r="O27">
        <v>1.0793999999999999</v>
      </c>
    </row>
    <row r="28" spans="1:15" ht="15.6" x14ac:dyDescent="0.3">
      <c r="A28" t="s">
        <v>185</v>
      </c>
      <c r="B28" t="s">
        <v>186</v>
      </c>
      <c r="C28" t="s">
        <v>32</v>
      </c>
      <c r="D28" t="s">
        <v>187</v>
      </c>
      <c r="E28" t="s">
        <v>188</v>
      </c>
      <c r="F28">
        <v>23763.87</v>
      </c>
      <c r="G28">
        <v>1134.54</v>
      </c>
      <c r="H28">
        <v>0</v>
      </c>
      <c r="I28">
        <v>3134.85</v>
      </c>
      <c r="J28">
        <v>40.840000000000003</v>
      </c>
      <c r="K28">
        <v>28074.1</v>
      </c>
      <c r="L28">
        <v>1000.22</v>
      </c>
      <c r="M28">
        <v>249.17</v>
      </c>
      <c r="N28">
        <v>29323.49</v>
      </c>
      <c r="O28">
        <v>1.234</v>
      </c>
    </row>
    <row r="29" spans="1:15" ht="15.6" x14ac:dyDescent="0.3">
      <c r="A29" t="s">
        <v>45</v>
      </c>
      <c r="B29" t="s">
        <v>189</v>
      </c>
      <c r="C29" t="s">
        <v>32</v>
      </c>
      <c r="D29" t="s">
        <v>190</v>
      </c>
      <c r="E29" t="s">
        <v>191</v>
      </c>
      <c r="F29">
        <v>5104.25</v>
      </c>
      <c r="G29">
        <v>359.8</v>
      </c>
      <c r="H29">
        <v>0</v>
      </c>
      <c r="I29">
        <v>142.88999999999999</v>
      </c>
      <c r="J29">
        <v>36.049999999999997</v>
      </c>
      <c r="K29">
        <v>5642.99</v>
      </c>
      <c r="L29">
        <v>368.15</v>
      </c>
      <c r="M29">
        <v>195.57</v>
      </c>
      <c r="N29">
        <v>6206.71</v>
      </c>
      <c r="O29">
        <v>1.216</v>
      </c>
    </row>
    <row r="30" spans="1:15" ht="15.6" x14ac:dyDescent="0.3">
      <c r="A30" t="s">
        <v>60</v>
      </c>
      <c r="B30" t="s">
        <v>192</v>
      </c>
      <c r="C30" t="s">
        <v>32</v>
      </c>
      <c r="D30" t="s">
        <v>193</v>
      </c>
      <c r="E30" t="s">
        <v>194</v>
      </c>
      <c r="F30">
        <v>34533.31</v>
      </c>
      <c r="G30">
        <v>526.69000000000005</v>
      </c>
      <c r="H30">
        <v>0</v>
      </c>
      <c r="I30">
        <v>316.75</v>
      </c>
      <c r="J30">
        <v>51.68</v>
      </c>
      <c r="K30">
        <v>35428.43</v>
      </c>
      <c r="L30">
        <v>553.41</v>
      </c>
      <c r="M30">
        <v>295.52999999999997</v>
      </c>
      <c r="N30">
        <v>36277.370000000003</v>
      </c>
      <c r="O30">
        <v>1.0505</v>
      </c>
    </row>
    <row r="31" spans="1:15" ht="15.6" x14ac:dyDescent="0.3">
      <c r="A31" t="s">
        <v>154</v>
      </c>
      <c r="B31" t="s">
        <v>195</v>
      </c>
      <c r="C31" t="s">
        <v>50</v>
      </c>
      <c r="D31" t="s">
        <v>196</v>
      </c>
      <c r="E31" t="s">
        <v>197</v>
      </c>
      <c r="F31">
        <v>11044.84</v>
      </c>
      <c r="G31">
        <v>0</v>
      </c>
      <c r="H31">
        <v>0</v>
      </c>
      <c r="I31">
        <v>140</v>
      </c>
      <c r="J31">
        <v>193.28</v>
      </c>
      <c r="K31">
        <v>11378.13</v>
      </c>
      <c r="L31">
        <v>126.27</v>
      </c>
      <c r="M31">
        <v>510</v>
      </c>
      <c r="N31">
        <v>12014.4</v>
      </c>
      <c r="O31">
        <v>1.0878000000000001</v>
      </c>
    </row>
    <row r="32" spans="1:15" ht="15.6" x14ac:dyDescent="0.3">
      <c r="A32" t="s">
        <v>80</v>
      </c>
      <c r="B32" t="s">
        <v>198</v>
      </c>
      <c r="C32" t="s">
        <v>50</v>
      </c>
      <c r="D32" t="s">
        <v>199</v>
      </c>
      <c r="E32" t="s">
        <v>200</v>
      </c>
      <c r="F32">
        <v>43690</v>
      </c>
      <c r="G32">
        <v>1088.7</v>
      </c>
      <c r="H32">
        <v>0</v>
      </c>
      <c r="I32">
        <v>1206</v>
      </c>
      <c r="J32">
        <v>150.32</v>
      </c>
      <c r="K32">
        <v>46135.02</v>
      </c>
      <c r="L32">
        <v>600.04999999999995</v>
      </c>
      <c r="M32">
        <v>837.4</v>
      </c>
      <c r="N32">
        <v>47572.47</v>
      </c>
      <c r="O32">
        <v>1.0889</v>
      </c>
    </row>
    <row r="33" spans="1:15" ht="15.6" x14ac:dyDescent="0.3">
      <c r="A33" t="s">
        <v>45</v>
      </c>
      <c r="B33" t="s">
        <v>205</v>
      </c>
      <c r="C33" t="s">
        <v>37</v>
      </c>
      <c r="D33" t="s">
        <v>206</v>
      </c>
      <c r="E33" t="s">
        <v>207</v>
      </c>
      <c r="F33">
        <v>9000</v>
      </c>
      <c r="G33">
        <v>0</v>
      </c>
      <c r="H33">
        <v>0</v>
      </c>
      <c r="I33">
        <v>2130</v>
      </c>
      <c r="J33">
        <v>36.049999999999997</v>
      </c>
      <c r="K33">
        <v>11166.05</v>
      </c>
      <c r="L33">
        <v>347.87</v>
      </c>
      <c r="M33">
        <v>225.43</v>
      </c>
      <c r="N33">
        <v>11739.35</v>
      </c>
      <c r="O33">
        <v>1.3044</v>
      </c>
    </row>
    <row r="34" spans="1:15" ht="15.6" x14ac:dyDescent="0.3">
      <c r="A34" t="s">
        <v>45</v>
      </c>
      <c r="B34" t="s">
        <v>208</v>
      </c>
      <c r="C34" t="s">
        <v>32</v>
      </c>
      <c r="D34" t="s">
        <v>209</v>
      </c>
      <c r="E34" t="s">
        <v>210</v>
      </c>
      <c r="F34">
        <v>4706.6000000000004</v>
      </c>
      <c r="G34">
        <v>80</v>
      </c>
      <c r="H34">
        <v>0</v>
      </c>
      <c r="I34">
        <v>196</v>
      </c>
      <c r="J34">
        <v>47.87</v>
      </c>
      <c r="K34">
        <v>5030.47</v>
      </c>
      <c r="L34">
        <v>654.66999999999996</v>
      </c>
      <c r="M34">
        <v>229.17</v>
      </c>
      <c r="N34">
        <v>5914.31</v>
      </c>
      <c r="O34">
        <v>1.2565999999999999</v>
      </c>
    </row>
    <row r="35" spans="1:15" ht="15.6" x14ac:dyDescent="0.3">
      <c r="A35" t="s">
        <v>211</v>
      </c>
      <c r="B35" t="s">
        <v>212</v>
      </c>
      <c r="C35" t="s">
        <v>32</v>
      </c>
      <c r="D35" t="s">
        <v>213</v>
      </c>
      <c r="E35" t="s">
        <v>214</v>
      </c>
      <c r="F35">
        <v>4706.6000000000004</v>
      </c>
      <c r="G35">
        <v>450</v>
      </c>
      <c r="H35">
        <v>0</v>
      </c>
      <c r="I35">
        <v>234.69</v>
      </c>
      <c r="J35">
        <v>54.57</v>
      </c>
      <c r="K35">
        <v>5445.86</v>
      </c>
      <c r="L35">
        <v>559.41</v>
      </c>
      <c r="M35">
        <v>337.87</v>
      </c>
      <c r="N35">
        <v>6343.14</v>
      </c>
      <c r="O35">
        <v>1.3476999999999999</v>
      </c>
    </row>
    <row r="36" spans="1:15" ht="15.6" x14ac:dyDescent="0.3">
      <c r="A36" t="s">
        <v>150</v>
      </c>
      <c r="B36" t="s">
        <v>151</v>
      </c>
      <c r="C36" t="s">
        <v>32</v>
      </c>
      <c r="D36" t="s">
        <v>215</v>
      </c>
      <c r="E36" t="s">
        <v>216</v>
      </c>
      <c r="F36">
        <v>3085.02</v>
      </c>
      <c r="G36">
        <v>187.5</v>
      </c>
      <c r="H36">
        <v>0</v>
      </c>
      <c r="I36">
        <v>151.88</v>
      </c>
      <c r="J36">
        <v>36.049999999999997</v>
      </c>
      <c r="K36">
        <v>3460.45</v>
      </c>
      <c r="L36">
        <v>498.34</v>
      </c>
      <c r="M36">
        <v>240.39</v>
      </c>
      <c r="N36">
        <v>4199.18</v>
      </c>
      <c r="O36">
        <v>1.3612</v>
      </c>
    </row>
    <row r="37" spans="1:15" ht="15.6" x14ac:dyDescent="0.3">
      <c r="A37" t="s">
        <v>53</v>
      </c>
      <c r="B37" t="s">
        <v>222</v>
      </c>
      <c r="C37" t="s">
        <v>37</v>
      </c>
      <c r="D37" t="s">
        <v>223</v>
      </c>
      <c r="E37" t="s">
        <v>224</v>
      </c>
      <c r="F37">
        <v>6769.13</v>
      </c>
      <c r="G37">
        <v>380</v>
      </c>
      <c r="H37">
        <v>0</v>
      </c>
      <c r="I37">
        <v>50</v>
      </c>
      <c r="J37">
        <v>142.97999999999999</v>
      </c>
      <c r="K37">
        <v>7342.11</v>
      </c>
      <c r="L37">
        <v>585.83000000000004</v>
      </c>
      <c r="M37">
        <v>214.23</v>
      </c>
      <c r="N37">
        <v>8142.17</v>
      </c>
      <c r="O37">
        <v>1.2028000000000001</v>
      </c>
    </row>
    <row r="38" spans="1:15" ht="15.6" x14ac:dyDescent="0.3">
      <c r="A38" t="s">
        <v>231</v>
      </c>
      <c r="B38" t="s">
        <v>232</v>
      </c>
      <c r="C38" t="s">
        <v>32</v>
      </c>
      <c r="D38" t="s">
        <v>233</v>
      </c>
      <c r="E38" t="s">
        <v>234</v>
      </c>
      <c r="F38">
        <v>3121.19</v>
      </c>
      <c r="G38">
        <v>229.31</v>
      </c>
      <c r="H38">
        <v>0</v>
      </c>
      <c r="I38">
        <v>527.16999999999996</v>
      </c>
      <c r="J38">
        <v>41.88</v>
      </c>
      <c r="K38">
        <v>3919.55</v>
      </c>
      <c r="L38">
        <v>329.8</v>
      </c>
      <c r="M38">
        <v>225.43</v>
      </c>
      <c r="N38">
        <v>4474.78</v>
      </c>
      <c r="O38">
        <v>1.4337</v>
      </c>
    </row>
    <row r="39" spans="1:15" ht="15.6" x14ac:dyDescent="0.3">
      <c r="A39" t="s">
        <v>235</v>
      </c>
      <c r="B39" t="s">
        <v>236</v>
      </c>
      <c r="C39" t="s">
        <v>32</v>
      </c>
      <c r="D39" t="s">
        <v>237</v>
      </c>
      <c r="E39" t="s">
        <v>238</v>
      </c>
      <c r="F39">
        <v>10807.78</v>
      </c>
      <c r="G39">
        <v>825.04</v>
      </c>
      <c r="H39">
        <v>0</v>
      </c>
      <c r="I39">
        <v>165.48</v>
      </c>
      <c r="J39">
        <v>36.049999999999997</v>
      </c>
      <c r="K39">
        <v>11834.35</v>
      </c>
      <c r="L39">
        <v>635.6</v>
      </c>
      <c r="M39">
        <v>225.43</v>
      </c>
      <c r="N39">
        <v>12695.38</v>
      </c>
      <c r="O39">
        <v>1.1747000000000001</v>
      </c>
    </row>
    <row r="40" spans="1:15" ht="15.6" x14ac:dyDescent="0.3">
      <c r="A40" t="s">
        <v>45</v>
      </c>
      <c r="B40" t="s">
        <v>239</v>
      </c>
      <c r="C40" t="s">
        <v>32</v>
      </c>
      <c r="D40" t="s">
        <v>237</v>
      </c>
      <c r="E40" t="s">
        <v>240</v>
      </c>
      <c r="F40">
        <v>78418.990000000005</v>
      </c>
      <c r="G40">
        <v>1192.8</v>
      </c>
      <c r="H40">
        <v>0</v>
      </c>
      <c r="I40">
        <v>3534.3</v>
      </c>
      <c r="J40">
        <v>122.47</v>
      </c>
      <c r="K40">
        <v>83268.56</v>
      </c>
      <c r="L40">
        <v>1935.04</v>
      </c>
      <c r="M40">
        <v>357.75</v>
      </c>
      <c r="N40">
        <v>85561.35</v>
      </c>
      <c r="O40">
        <v>1.0911</v>
      </c>
    </row>
  </sheetData>
  <pageMargins left="0.7" right="0.7" top="0.75" bottom="0.75" header="0.3" footer="0.3"/>
  <ignoredErrors>
    <ignoredError sqref="A1:O4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"/>
  <sheetViews>
    <sheetView workbookViewId="0"/>
  </sheetViews>
  <sheetFormatPr baseColWidth="10" defaultRowHeight="14.4" x14ac:dyDescent="0.3"/>
  <cols>
    <col min="1" max="1" width="20.796875" customWidth="1"/>
    <col min="2" max="2" width="40.796875" customWidth="1"/>
    <col min="3" max="3" width="10.796875" customWidth="1"/>
    <col min="4" max="4" width="16.796875" customWidth="1"/>
    <col min="5" max="5" width="30.796875" customWidth="1"/>
    <col min="6" max="9" width="14.796875" customWidth="1"/>
    <col min="10" max="10" width="12.796875" customWidth="1"/>
    <col min="11" max="11" width="18.796875" customWidth="1"/>
    <col min="12" max="13" width="22.796875" customWidth="1"/>
    <col min="14" max="14" width="20.796875" customWidth="1"/>
    <col min="15" max="15" width="8.796875" customWidth="1"/>
  </cols>
  <sheetData>
    <row r="1" spans="1:15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</v>
      </c>
      <c r="M1" t="s">
        <v>20</v>
      </c>
      <c r="N1" t="s">
        <v>21</v>
      </c>
      <c r="O1" t="s">
        <v>22</v>
      </c>
    </row>
    <row r="2" spans="1:15" ht="15.6" x14ac:dyDescent="0.3">
      <c r="A2" t="s">
        <v>64</v>
      </c>
      <c r="B2" t="s">
        <v>65</v>
      </c>
      <c r="C2" t="s">
        <v>26</v>
      </c>
      <c r="D2" t="s">
        <v>58</v>
      </c>
      <c r="E2" t="s">
        <v>66</v>
      </c>
      <c r="F2">
        <v>35310</v>
      </c>
      <c r="G2">
        <v>1160</v>
      </c>
      <c r="H2">
        <v>0</v>
      </c>
      <c r="I2">
        <v>984.08</v>
      </c>
      <c r="J2">
        <v>364.7</v>
      </c>
      <c r="K2">
        <v>37818.78</v>
      </c>
      <c r="L2">
        <v>653.11</v>
      </c>
      <c r="M2">
        <v>399.86</v>
      </c>
      <c r="N2">
        <v>38871.75</v>
      </c>
      <c r="O2">
        <v>1.1009</v>
      </c>
    </row>
    <row r="3" spans="1:15" ht="15.6" x14ac:dyDescent="0.3">
      <c r="A3" t="s">
        <v>94</v>
      </c>
      <c r="B3" t="s">
        <v>95</v>
      </c>
      <c r="C3" t="s">
        <v>50</v>
      </c>
      <c r="D3" t="s">
        <v>96</v>
      </c>
      <c r="E3" t="s">
        <v>97</v>
      </c>
      <c r="F3">
        <v>52264.81</v>
      </c>
      <c r="G3">
        <v>0</v>
      </c>
      <c r="H3">
        <v>0</v>
      </c>
      <c r="I3">
        <v>6686.95</v>
      </c>
      <c r="J3">
        <v>695.12</v>
      </c>
      <c r="K3">
        <v>59646.879999999997</v>
      </c>
      <c r="L3">
        <v>574</v>
      </c>
      <c r="M3">
        <v>711.98</v>
      </c>
      <c r="N3">
        <v>60932.86</v>
      </c>
      <c r="O3">
        <v>1.1657999999999999</v>
      </c>
    </row>
    <row r="4" spans="1:15" ht="15.6" x14ac:dyDescent="0.3">
      <c r="A4" t="s">
        <v>123</v>
      </c>
      <c r="B4" t="s">
        <v>124</v>
      </c>
      <c r="C4" t="s">
        <v>32</v>
      </c>
      <c r="D4" t="s">
        <v>121</v>
      </c>
      <c r="E4" t="s">
        <v>125</v>
      </c>
      <c r="F4">
        <v>12242.2</v>
      </c>
      <c r="G4">
        <v>787.51</v>
      </c>
      <c r="H4">
        <v>0</v>
      </c>
      <c r="I4">
        <v>920.7</v>
      </c>
      <c r="J4">
        <v>182.43</v>
      </c>
      <c r="K4">
        <v>14132.84</v>
      </c>
      <c r="L4">
        <v>479.86</v>
      </c>
      <c r="M4">
        <v>256.08999999999997</v>
      </c>
      <c r="N4">
        <v>14868.79</v>
      </c>
      <c r="O4">
        <v>1.2145999999999999</v>
      </c>
    </row>
    <row r="5" spans="1:15" ht="15.6" x14ac:dyDescent="0.3">
      <c r="A5" t="s">
        <v>85</v>
      </c>
      <c r="B5" t="s">
        <v>130</v>
      </c>
      <c r="C5" t="s">
        <v>32</v>
      </c>
      <c r="D5" t="s">
        <v>128</v>
      </c>
      <c r="E5" t="s">
        <v>131</v>
      </c>
      <c r="F5">
        <v>74735.95</v>
      </c>
      <c r="G5">
        <v>2224.73</v>
      </c>
      <c r="H5">
        <v>0</v>
      </c>
      <c r="I5">
        <v>3365.5</v>
      </c>
      <c r="J5">
        <v>769.61</v>
      </c>
      <c r="K5">
        <v>81095.78</v>
      </c>
      <c r="L5">
        <v>620</v>
      </c>
      <c r="M5">
        <v>1141.55</v>
      </c>
      <c r="N5">
        <v>82857.33</v>
      </c>
      <c r="O5">
        <v>1.1087</v>
      </c>
    </row>
    <row r="6" spans="1:15" ht="15.6" x14ac:dyDescent="0.3">
      <c r="A6" t="s">
        <v>85</v>
      </c>
      <c r="B6" t="s">
        <v>132</v>
      </c>
      <c r="C6" t="s">
        <v>32</v>
      </c>
      <c r="D6" t="s">
        <v>128</v>
      </c>
      <c r="E6" t="s">
        <v>133</v>
      </c>
      <c r="F6">
        <v>5892.69</v>
      </c>
      <c r="G6">
        <v>235.46</v>
      </c>
      <c r="H6">
        <v>0</v>
      </c>
      <c r="I6">
        <v>58.27</v>
      </c>
      <c r="J6">
        <v>65.92</v>
      </c>
      <c r="K6">
        <v>6252.34</v>
      </c>
      <c r="L6">
        <v>469.91</v>
      </c>
      <c r="M6">
        <v>210.87</v>
      </c>
      <c r="N6">
        <v>6933.12</v>
      </c>
      <c r="O6">
        <v>1.1766000000000001</v>
      </c>
    </row>
    <row r="7" spans="1:15" ht="15.6" x14ac:dyDescent="0.3">
      <c r="A7" t="s">
        <v>144</v>
      </c>
      <c r="B7" t="s">
        <v>145</v>
      </c>
      <c r="C7" t="s">
        <v>32</v>
      </c>
      <c r="D7" t="s">
        <v>139</v>
      </c>
      <c r="E7" t="s">
        <v>146</v>
      </c>
      <c r="F7">
        <v>1581</v>
      </c>
      <c r="G7">
        <v>30</v>
      </c>
      <c r="H7">
        <v>0</v>
      </c>
      <c r="I7">
        <v>118.55</v>
      </c>
      <c r="J7">
        <v>44.3</v>
      </c>
      <c r="K7">
        <v>1773.85</v>
      </c>
      <c r="L7">
        <v>306.27</v>
      </c>
      <c r="M7">
        <v>210</v>
      </c>
      <c r="N7">
        <v>2290.12</v>
      </c>
      <c r="O7">
        <v>1.4484999999999999</v>
      </c>
    </row>
    <row r="8" spans="1:15" ht="15.6" x14ac:dyDescent="0.3">
      <c r="A8" t="s">
        <v>161</v>
      </c>
      <c r="B8" t="s">
        <v>162</v>
      </c>
      <c r="C8" t="s">
        <v>32</v>
      </c>
      <c r="D8" t="s">
        <v>163</v>
      </c>
      <c r="E8" t="s">
        <v>164</v>
      </c>
      <c r="F8">
        <v>8746.65</v>
      </c>
      <c r="G8">
        <v>210</v>
      </c>
      <c r="H8">
        <v>0</v>
      </c>
      <c r="I8">
        <v>1127.18</v>
      </c>
      <c r="J8">
        <v>36.049999999999997</v>
      </c>
      <c r="K8">
        <v>10119.879999999999</v>
      </c>
      <c r="L8">
        <v>722.57</v>
      </c>
      <c r="M8">
        <v>224.78</v>
      </c>
      <c r="N8">
        <v>11067.23</v>
      </c>
      <c r="O8">
        <v>1.2653000000000001</v>
      </c>
    </row>
    <row r="9" spans="1:15" ht="15.6" x14ac:dyDescent="0.3">
      <c r="A9" t="s">
        <v>168</v>
      </c>
      <c r="B9" t="s">
        <v>169</v>
      </c>
      <c r="C9" t="s">
        <v>32</v>
      </c>
      <c r="D9" t="s">
        <v>170</v>
      </c>
      <c r="E9" t="s">
        <v>171</v>
      </c>
      <c r="F9">
        <v>1921.89</v>
      </c>
      <c r="G9">
        <v>166.32</v>
      </c>
      <c r="H9">
        <v>0</v>
      </c>
      <c r="I9">
        <v>83.16</v>
      </c>
      <c r="J9">
        <v>23.65</v>
      </c>
      <c r="K9">
        <v>2195.02</v>
      </c>
      <c r="L9">
        <v>264.04000000000002</v>
      </c>
      <c r="M9">
        <v>183.04</v>
      </c>
      <c r="N9">
        <v>2642.1</v>
      </c>
      <c r="O9">
        <v>1.3747</v>
      </c>
    </row>
    <row r="10" spans="1:15" ht="15.6" x14ac:dyDescent="0.3">
      <c r="A10" t="s">
        <v>141</v>
      </c>
      <c r="B10" t="s">
        <v>172</v>
      </c>
      <c r="C10" t="s">
        <v>50</v>
      </c>
      <c r="D10" t="s">
        <v>173</v>
      </c>
      <c r="E10" t="s">
        <v>174</v>
      </c>
      <c r="F10">
        <v>14478.66</v>
      </c>
      <c r="G10">
        <v>0</v>
      </c>
      <c r="H10">
        <v>0</v>
      </c>
      <c r="I10">
        <v>1600</v>
      </c>
      <c r="J10">
        <v>146.25</v>
      </c>
      <c r="K10">
        <v>16224.91</v>
      </c>
      <c r="L10">
        <v>1255.83</v>
      </c>
      <c r="M10">
        <v>399.86</v>
      </c>
      <c r="N10">
        <v>17880.59</v>
      </c>
      <c r="O10">
        <v>1.2350000000000001</v>
      </c>
    </row>
    <row r="11" spans="1:15" ht="15.6" x14ac:dyDescent="0.3">
      <c r="A11" t="s">
        <v>175</v>
      </c>
      <c r="B11" t="s">
        <v>176</v>
      </c>
      <c r="C11" t="s">
        <v>32</v>
      </c>
      <c r="D11" t="s">
        <v>177</v>
      </c>
      <c r="E11" t="s">
        <v>178</v>
      </c>
      <c r="F11">
        <v>3168.1</v>
      </c>
      <c r="G11">
        <v>190.08</v>
      </c>
      <c r="H11">
        <v>0</v>
      </c>
      <c r="I11">
        <v>151.11000000000001</v>
      </c>
      <c r="J11">
        <v>58.77</v>
      </c>
      <c r="K11">
        <v>3568.06</v>
      </c>
      <c r="L11">
        <v>376.27</v>
      </c>
      <c r="M11">
        <v>183.04</v>
      </c>
      <c r="N11">
        <v>4127.37</v>
      </c>
      <c r="O11">
        <v>1.3028</v>
      </c>
    </row>
    <row r="12" spans="1:15" ht="15.6" x14ac:dyDescent="0.3">
      <c r="A12" t="s">
        <v>85</v>
      </c>
      <c r="B12" t="s">
        <v>182</v>
      </c>
      <c r="C12" t="s">
        <v>32</v>
      </c>
      <c r="D12" t="s">
        <v>183</v>
      </c>
      <c r="E12" t="s">
        <v>184</v>
      </c>
      <c r="F12">
        <v>70219.77</v>
      </c>
      <c r="G12">
        <v>0</v>
      </c>
      <c r="H12">
        <v>0</v>
      </c>
      <c r="I12">
        <v>2803.68</v>
      </c>
      <c r="J12">
        <v>106.38</v>
      </c>
      <c r="K12">
        <v>73129.83</v>
      </c>
      <c r="L12">
        <v>1042.95</v>
      </c>
      <c r="M12">
        <v>492.68</v>
      </c>
      <c r="N12">
        <v>74665.45</v>
      </c>
      <c r="O12">
        <v>1.0632999999999999</v>
      </c>
    </row>
    <row r="13" spans="1:15" ht="15.6" x14ac:dyDescent="0.3">
      <c r="A13" t="s">
        <v>168</v>
      </c>
      <c r="B13" t="s">
        <v>217</v>
      </c>
      <c r="C13" t="s">
        <v>32</v>
      </c>
      <c r="D13" t="s">
        <v>215</v>
      </c>
      <c r="E13" t="s">
        <v>218</v>
      </c>
      <c r="F13">
        <v>172800.54</v>
      </c>
      <c r="G13">
        <v>1738.2</v>
      </c>
      <c r="H13">
        <v>0</v>
      </c>
      <c r="I13">
        <v>2972.38</v>
      </c>
      <c r="J13">
        <v>4799.8</v>
      </c>
      <c r="K13">
        <v>182310.92</v>
      </c>
      <c r="L13">
        <v>1568.95</v>
      </c>
      <c r="M13">
        <v>1374.33</v>
      </c>
      <c r="N13">
        <v>185254.2</v>
      </c>
      <c r="O13">
        <v>1.0450999999999999</v>
      </c>
    </row>
    <row r="14" spans="1:15" ht="15.6" x14ac:dyDescent="0.3">
      <c r="A14" t="s">
        <v>219</v>
      </c>
      <c r="B14" t="s">
        <v>220</v>
      </c>
      <c r="C14" t="s">
        <v>32</v>
      </c>
      <c r="D14" t="s">
        <v>215</v>
      </c>
      <c r="E14" t="s">
        <v>221</v>
      </c>
      <c r="F14">
        <v>50359.32</v>
      </c>
      <c r="G14">
        <v>1835.78</v>
      </c>
      <c r="H14">
        <v>0</v>
      </c>
      <c r="I14">
        <v>3049.56</v>
      </c>
      <c r="J14">
        <v>78.8</v>
      </c>
      <c r="K14">
        <v>55323.46</v>
      </c>
      <c r="L14">
        <v>1770.2</v>
      </c>
      <c r="M14">
        <v>1027.8800000000001</v>
      </c>
      <c r="N14">
        <v>58121.53</v>
      </c>
      <c r="O14">
        <v>1.1540999999999999</v>
      </c>
    </row>
  </sheetData>
  <pageMargins left="0.7" right="0.7" top="0.75" bottom="0.75" header="0.3" footer="0.3"/>
  <ignoredErrors>
    <ignoredError sqref="A1:O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workbookViewId="0"/>
  </sheetViews>
  <sheetFormatPr baseColWidth="10" defaultRowHeight="14.4" x14ac:dyDescent="0.3"/>
  <cols>
    <col min="1" max="1" width="20.796875" customWidth="1"/>
    <col min="2" max="2" width="40.796875" customWidth="1"/>
    <col min="3" max="3" width="10.796875" customWidth="1"/>
    <col min="4" max="4" width="16.796875" customWidth="1"/>
    <col min="5" max="5" width="30.796875" customWidth="1"/>
    <col min="6" max="9" width="14.796875" customWidth="1"/>
    <col min="10" max="10" width="12.796875" customWidth="1"/>
    <col min="11" max="11" width="18.796875" customWidth="1"/>
    <col min="12" max="13" width="22.796875" customWidth="1"/>
    <col min="14" max="14" width="20.796875" customWidth="1"/>
    <col min="15" max="15" width="8.796875" customWidth="1"/>
  </cols>
  <sheetData>
    <row r="1" spans="1:15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</v>
      </c>
      <c r="M1" t="s">
        <v>20</v>
      </c>
      <c r="N1" t="s">
        <v>21</v>
      </c>
      <c r="O1" t="s">
        <v>22</v>
      </c>
    </row>
    <row r="2" spans="1:15" ht="15.6" x14ac:dyDescent="0.3">
      <c r="A2" t="s">
        <v>135</v>
      </c>
      <c r="B2" t="s">
        <v>136</v>
      </c>
      <c r="C2" t="s">
        <v>32</v>
      </c>
      <c r="D2" t="s">
        <v>128</v>
      </c>
      <c r="E2" t="s">
        <v>137</v>
      </c>
      <c r="F2">
        <v>15182.64</v>
      </c>
      <c r="G2">
        <v>1716.66</v>
      </c>
      <c r="H2">
        <v>0</v>
      </c>
      <c r="I2">
        <v>2193.0500000000002</v>
      </c>
      <c r="J2">
        <v>36.049999999999997</v>
      </c>
      <c r="K2">
        <v>19128.400000000001</v>
      </c>
      <c r="L2">
        <v>970.25</v>
      </c>
      <c r="M2">
        <v>1008.55</v>
      </c>
      <c r="N2">
        <v>21107.200000000001</v>
      </c>
      <c r="O2">
        <v>1.3902000000000001</v>
      </c>
    </row>
    <row r="3" spans="1:15" ht="15.6" x14ac:dyDescent="0.3">
      <c r="A3" t="s">
        <v>157</v>
      </c>
      <c r="B3" t="s">
        <v>158</v>
      </c>
      <c r="C3" t="s">
        <v>32</v>
      </c>
      <c r="D3" t="s">
        <v>159</v>
      </c>
      <c r="E3" t="s">
        <v>160</v>
      </c>
      <c r="F3">
        <v>25200</v>
      </c>
      <c r="G3">
        <v>0</v>
      </c>
      <c r="H3">
        <v>0</v>
      </c>
      <c r="I3">
        <v>1450</v>
      </c>
      <c r="J3">
        <v>252</v>
      </c>
      <c r="K3">
        <v>26902</v>
      </c>
      <c r="L3">
        <v>700</v>
      </c>
      <c r="M3">
        <v>1469.75</v>
      </c>
      <c r="N3">
        <v>29071.75</v>
      </c>
      <c r="O3">
        <v>1.1536</v>
      </c>
    </row>
    <row r="4" spans="1:15" ht="15.6" x14ac:dyDescent="0.3">
      <c r="A4" t="s">
        <v>165</v>
      </c>
      <c r="B4" t="s">
        <v>166</v>
      </c>
      <c r="C4" t="s">
        <v>32</v>
      </c>
      <c r="D4" t="s">
        <v>163</v>
      </c>
      <c r="E4" t="s">
        <v>167</v>
      </c>
      <c r="F4">
        <v>11931.2</v>
      </c>
      <c r="G4">
        <v>401.54</v>
      </c>
      <c r="H4">
        <v>0</v>
      </c>
      <c r="I4">
        <v>190.08</v>
      </c>
      <c r="J4">
        <v>36.049999999999997</v>
      </c>
      <c r="K4">
        <v>12558.88</v>
      </c>
      <c r="L4">
        <v>379.86</v>
      </c>
      <c r="M4">
        <v>254.93</v>
      </c>
      <c r="N4">
        <v>13193.66</v>
      </c>
      <c r="O4">
        <v>1.1057999999999999</v>
      </c>
    </row>
    <row r="5" spans="1:15" ht="15.6" x14ac:dyDescent="0.3">
      <c r="A5" t="s">
        <v>201</v>
      </c>
      <c r="B5" t="s">
        <v>202</v>
      </c>
      <c r="C5" t="s">
        <v>32</v>
      </c>
      <c r="D5" t="s">
        <v>203</v>
      </c>
      <c r="E5" t="s">
        <v>204</v>
      </c>
      <c r="F5">
        <v>4184.08</v>
      </c>
      <c r="G5">
        <v>0</v>
      </c>
      <c r="H5">
        <v>0</v>
      </c>
      <c r="I5">
        <v>156.15</v>
      </c>
      <c r="J5">
        <v>75.180000000000007</v>
      </c>
      <c r="K5">
        <v>4415.41</v>
      </c>
      <c r="L5">
        <v>162.07</v>
      </c>
      <c r="N5">
        <v>4577.4799999999996</v>
      </c>
      <c r="O5">
        <v>1.0940000000000001</v>
      </c>
    </row>
    <row r="6" spans="1:15" ht="15.6" x14ac:dyDescent="0.3">
      <c r="A6" t="s">
        <v>227</v>
      </c>
      <c r="B6" t="s">
        <v>228</v>
      </c>
      <c r="C6" t="s">
        <v>32</v>
      </c>
      <c r="D6" t="s">
        <v>229</v>
      </c>
      <c r="E6" t="s">
        <v>230</v>
      </c>
      <c r="F6">
        <v>3453.92</v>
      </c>
      <c r="G6">
        <v>100</v>
      </c>
      <c r="H6">
        <v>0</v>
      </c>
      <c r="I6">
        <v>293.69</v>
      </c>
      <c r="J6">
        <v>32.659999999999997</v>
      </c>
      <c r="K6">
        <v>3880.28</v>
      </c>
      <c r="L6">
        <v>305.86</v>
      </c>
      <c r="M6">
        <v>226.38</v>
      </c>
      <c r="N6">
        <v>4412.5200000000004</v>
      </c>
      <c r="O6">
        <v>1.2775000000000001</v>
      </c>
    </row>
    <row r="7" spans="1:15" ht="15.6" x14ac:dyDescent="0.3">
      <c r="A7" t="s">
        <v>241</v>
      </c>
      <c r="B7" t="s">
        <v>242</v>
      </c>
      <c r="C7" t="s">
        <v>32</v>
      </c>
      <c r="D7" t="s">
        <v>243</v>
      </c>
      <c r="E7" t="s">
        <v>244</v>
      </c>
      <c r="F7">
        <v>4865.1400000000003</v>
      </c>
      <c r="G7">
        <v>0</v>
      </c>
      <c r="H7">
        <v>0</v>
      </c>
      <c r="I7">
        <v>770</v>
      </c>
      <c r="J7">
        <v>5</v>
      </c>
      <c r="K7">
        <v>5640.14</v>
      </c>
      <c r="L7">
        <v>370.81</v>
      </c>
      <c r="M7">
        <v>283.85000000000002</v>
      </c>
      <c r="N7">
        <v>6294.8</v>
      </c>
      <c r="O7">
        <v>1.2939000000000001</v>
      </c>
    </row>
  </sheetData>
  <pageMargins left="0.7" right="0.7" top="0.75" bottom="0.75" header="0.3" footer="0.3"/>
  <ignoredErrors>
    <ignoredError sqref="A1:O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MAESTRA</vt:lpstr>
      <vt:lpstr>RESUMEN EMPRESA</vt:lpstr>
      <vt:lpstr>RESUMEN MES</vt:lpstr>
      <vt:lpstr>FRIOTEAM</vt:lpstr>
      <vt:lpstr>FRIOPACKING</vt:lpstr>
      <vt:lpstr>HERMETICA</vt:lpstr>
      <vt:lpstr>SMARTCOLD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Casarino Escarcena</dc:creator>
  <cp:lastModifiedBy>José Casarino Escarcena</cp:lastModifiedBy>
  <dcterms:created xsi:type="dcterms:W3CDTF">2026-04-24T14:54:46Z</dcterms:created>
  <dcterms:modified xsi:type="dcterms:W3CDTF">2026-04-24T14:55:59Z</dcterms:modified>
</cp:coreProperties>
</file>